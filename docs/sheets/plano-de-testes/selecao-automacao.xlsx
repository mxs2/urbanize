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ao Automacao" sheetId="1" state="visible" r:id="rId1"/>
    <sheet name="Como preencher" sheetId="2" state="visible" r:id="rId2"/>
  </sheets>
  <definedNames>
    <definedName name="_xlnm._FilterDatabase" localSheetId="0" hidden="1">'Selecao Automacao'!$A$5:$R$99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1" fontId="5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2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3" borderId="0" applyAlignment="1" pivotButton="0" quotePrefix="0" xfId="0">
      <alignment horizontal="center" wrapText="1"/>
    </xf>
    <xf numFmtId="0" fontId="5" fillId="0" borderId="1" pivotButton="0" quotePrefix="0" xfId="0"/>
    <xf numFmtId="0" fontId="6" fillId="0" borderId="1" pivotButton="0" quotePrefix="0" xfId="0"/>
    <xf numFmtId="2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QA</author>
  </authors>
  <commentList>
    <comment ref="D3" authorId="0" shapeId="0">
      <text>
        <t>A CONFIRMAR com a squad: quantos meses faltam até a entrega. Sem ele, a coluna Automatizar? mostra 'Sim, se faltarem pelo menos X meses'.</t>
      </text>
    </comment>
    <comment ref="E6" authorId="0" shapeId="0">
      <text>
        <t>Medido em 23/09/2026: tests/acceptance/01_auth.test.ts › CT-AUTH-01 levou 347 ms.</t>
      </text>
    </comment>
    <comment ref="E7" authorId="0" shapeId="0">
      <text>
        <t>Referência por analogia, NÃO medição: mediana dos testes já medidos do nível 'Integração de componentes'. Troque pelo tempo real depois de implementar.</t>
      </text>
    </comment>
    <comment ref="E8" authorId="0" shapeId="0">
      <text>
        <t>Referência por analogia, NÃO medição: mediana dos testes já medidos do nível 'Integração de componentes'. Troque pelo tempo real depois de implementar.</t>
      </text>
    </comment>
    <comment ref="E9" authorId="0" shapeId="0">
      <text>
        <t>Referência por analogia, NÃO medição: mediana dos testes já medidos do nível 'Integração de componentes'. Troque pelo tempo real depois de implementar.</t>
      </text>
    </comment>
    <comment ref="E10" authorId="0" shapeId="0">
      <text>
        <t>Referência por analogia, NÃO medição: mediana dos testes já medidos do nível 'Integração de componentes'. Troque pelo tempo real depois de implementar.</t>
      </text>
    </comment>
    <comment ref="E11" authorId="0" shapeId="0">
      <text>
        <t>Referência por analogia, NÃO medição: mediana dos testes já medidos do nível 'Integração de componentes'. Troque pelo tempo real depois de implementar.</t>
      </text>
    </comment>
    <comment ref="E12" authorId="0" shapeId="0">
      <text>
        <t>Referência por analogia, NÃO medição: mediana dos testes já medidos do nível 'Integração de componentes'. Troque pelo tempo real depois de implementar.</t>
      </text>
    </comment>
    <comment ref="E13" authorId="0" shapeId="0">
      <text>
        <t>Referência por analogia, NÃO medição: mediana dos testes já medidos do nível 'Integração de componentes'. Troque pelo tempo real depois de implementar.</t>
      </text>
    </comment>
    <comment ref="E14" authorId="0" shapeId="0">
      <text>
        <t>Referência por analogia, NÃO medição: mediana dos testes já medidos do nível 'Integração de componentes'. Troque pelo tempo real depois de implementar.</t>
      </text>
    </comment>
    <comment ref="E15" authorId="0" shapeId="0">
      <text>
        <t>Referência por analogia, NÃO medição: mediana dos testes já medidos do nível 'Integração de componentes'. Troque pelo tempo real depois de implementar.</t>
      </text>
    </comment>
    <comment ref="E16" authorId="0" shapeId="0">
      <text>
        <t>Medido em 23/09/2026: tests/acceptance/01_auth.test.ts › CT-AUTH-02 levou 213 ms.</t>
      </text>
    </comment>
    <comment ref="E17" authorId="0" shapeId="0">
      <text>
        <t>Referência por analogia, NÃO medição: mediana dos testes já medidos do nível 'Sistema'. Troque pelo tempo real depois de implementar.</t>
      </text>
    </comment>
    <comment ref="E18" authorId="0" shapeId="0">
      <text>
        <t>Medido em 23/09/2026: tests/acceptance/01_auth.test.ts › CT-AUTH-04 levou 170 ms.</t>
      </text>
    </comment>
    <comment ref="E19" authorId="0" shapeId="0">
      <text>
        <t>Medido em 23/09/2026: tests/acceptance/01_auth.test.ts › CT-AUTH-05 levou 138 ms.</t>
      </text>
    </comment>
    <comment ref="E20" authorId="0" shapeId="0">
      <text>
        <t>Medido em 23/09/2026: tests/acceptance/01_auth.test.ts › CT-AUTH-06 levou 153 ms.</t>
      </text>
    </comment>
    <comment ref="E21" authorId="0" shapeId="0">
      <text>
        <t>Medido em 23/09/2026: tests/acceptance/01_auth.test.ts › CT-AUTH-07 levou 12 ms.</t>
      </text>
    </comment>
    <comment ref="E22" authorId="0" shapeId="0">
      <text>
        <t>Referência por analogia, NÃO medição: mediana dos testes já medidos do nível 'Integração de componentes'. Troque pelo tempo real depois de implementar.</t>
      </text>
    </comment>
    <comment ref="E23" authorId="0" shapeId="0">
      <text>
        <t>Medido em 23/09/2026: e2e/tests/buscar-demandas.spec.ts (login do cidadão e /dashboard) levou 1923 ms.</t>
      </text>
    </comment>
    <comment ref="E24" authorId="0" shapeId="0">
      <text>
        <t>Medido em 23/09/2026: e2e/tests/gestor-aceita-triagem.spec.ts (login do gestor e 'Painel do gestor') levou 2377 ms.</t>
      </text>
    </comment>
    <comment ref="E25" authorId="0" shapeId="0">
      <text>
        <t>Referência por analogia, NÃO medição: mediana dos testes já medidos do nível 'Componente'. Troque pelo tempo real depois de implementar.</t>
      </text>
    </comment>
    <comment ref="E26" authorId="0" shapeId="0">
      <text>
        <t>Medido em 23/09/2026: tests/unit/services/api.test.ts › envia Authorization assim que o token entra em memória levou 5 ms.</t>
      </text>
    </comment>
    <comment ref="E27" authorId="0" shapeId="0">
      <text>
        <t>Medido em 23/09/2026: tests/acceptance/01_auth.test.ts › CT-AUTH-09 levou 17 ms.</t>
      </text>
    </comment>
    <comment ref="E28" authorId="0" shapeId="0">
      <text>
        <t>Medido em 23/09/2026: tests/acceptance/01_auth.test.ts › CT-AUTH-10 levou 20 ms.</t>
      </text>
    </comment>
    <comment ref="E29" authorId="0" shapeId="0">
      <text>
        <t>Referência por analogia, NÃO medição: mediana dos testes já medidos do nível 'Integração de componentes'. Troque pelo tempo real depois de implementar.</t>
      </text>
    </comment>
    <comment ref="E30" authorId="0" shapeId="0">
      <text>
        <t>Referência por analogia, NÃO medição: mediana dos testes já medidos do nível 'Integração de componentes'. Troque pelo tempo real depois de implementar.</t>
      </text>
    </comment>
    <comment ref="E31" authorId="0" shapeId="0">
      <text>
        <t>Medido em 23/09/2026: tests/acceptance/01_auth.test.ts › CT-AUTH-11 levou 9 ms.</t>
      </text>
    </comment>
    <comment ref="E32" authorId="0" shapeId="0">
      <text>
        <t>Medido em 23/09/2026: tests/acceptance/04_general.test.ts › CT-GEN-03 levou 11 ms.</t>
      </text>
    </comment>
    <comment ref="E33" authorId="0" shapeId="0">
      <text>
        <t>Medido em 23/09/2026: tests/acceptance/02_demands.test.ts › CT-DEM-01 levou 187 ms.</t>
      </text>
    </comment>
    <comment ref="E34" authorId="0" shapeId="0">
      <text>
        <t>Referência por analogia, NÃO medição: mediana dos testes já medidos do nível 'Integração de componentes'. Troque pelo tempo real depois de implementar.</t>
      </text>
    </comment>
    <comment ref="E35" authorId="0" shapeId="0">
      <text>
        <t>Referência por analogia, NÃO medição: mediana dos testes já medidos do nível 'Integração de componentes'. Troque pelo tempo real depois de implementar.</t>
      </text>
    </comment>
    <comment ref="E36" authorId="0" shapeId="0">
      <text>
        <t>Referência por analogia, NÃO medição: mediana dos testes já medidos do nível 'Integração de componentes'. Troque pelo tempo real depois de implementar.</t>
      </text>
    </comment>
    <comment ref="E37" authorId="0" shapeId="0">
      <text>
        <t>Referência por analogia, NÃO medição: mediana dos testes já medidos do nível 'Integração de componentes'. Troque pelo tempo real depois de implementar.</t>
      </text>
    </comment>
    <comment ref="E38" authorId="0" shapeId="0">
      <text>
        <t>Medido em 23/09/2026: tests/acceptance/02_demands.test.ts › CT-DEM-03 levou 25 ms.</t>
      </text>
    </comment>
    <comment ref="E39" authorId="0" shapeId="0">
      <text>
        <t>Referência por analogia, NÃO medição: mediana dos testes já medidos do nível 'Integração de componentes'. Troque pelo tempo real depois de implementar.</t>
      </text>
    </comment>
    <comment ref="E40" authorId="0" shapeId="0">
      <text>
        <t>Medido em 23/09/2026: tests/acceptance/02_demands.test.ts › CT-DEM-04 levou 12 ms.</t>
      </text>
    </comment>
    <comment ref="E41" authorId="0" shapeId="0">
      <text>
        <t>Referência por analogia, NÃO medição: mediana dos testes já medidos do nível 'Integração de componentes'. Troque pelo tempo real depois de implementar.</t>
      </text>
    </comment>
    <comment ref="E42" authorId="0" shapeId="0">
      <text>
        <t>Referência por analogia, NÃO medição: mediana dos testes já medidos do nível 'Integração de componentes'. Troque pelo tempo real depois de implementar.</t>
      </text>
    </comment>
    <comment ref="E43" authorId="0" shapeId="0">
      <text>
        <t>Medido em 23/09/2026: tests/acceptance/02_demands.test.ts › CT-DEM-05 levou 15 ms.</t>
      </text>
    </comment>
    <comment ref="E44" authorId="0" shapeId="0">
      <text>
        <t>Referência por analogia, NÃO medição: mediana dos testes já medidos do nível 'Integração de componentes'. Troque pelo tempo real depois de implementar.</t>
      </text>
    </comment>
    <comment ref="E45" authorId="0" shapeId="0">
      <text>
        <t>Medido em 23/09/2026: tests/acceptance/02_demands.test.ts › CT-DEM-02 levou 20 ms.</t>
      </text>
    </comment>
    <comment ref="E46" authorId="0" shapeId="0">
      <text>
        <t>Medido em 23/09/2026: e2e/tests/registrar-demanda.spec.ts levou 3035 ms.</t>
      </text>
    </comment>
    <comment ref="E47" authorId="0" shapeId="0">
      <text>
        <t>Referência por analogia, NÃO medição: mediana dos testes já medidos do nível 'Sistema'. Troque pelo tempo real depois de implementar.</t>
      </text>
    </comment>
    <comment ref="E48" authorId="0" shapeId="0">
      <text>
        <t>Referência por analogia, NÃO medição: mediana dos testes já medidos do nível 'Sistema'. Troque pelo tempo real depois de implementar.</t>
      </text>
    </comment>
    <comment ref="E49" authorId="0" shapeId="0">
      <text>
        <t>Referência por analogia, NÃO medição: mediana dos testes já medidos do nível 'Componente'. Troque pelo tempo real depois de implementar.</t>
      </text>
    </comment>
    <comment ref="E50" authorId="0" shapeId="0">
      <text>
        <t>Referência por analogia, NÃO medição: mediana dos testes já medidos do nível 'Sistema'. Troque pelo tempo real depois de implementar.</t>
      </text>
    </comment>
    <comment ref="E51" authorId="0" shapeId="0">
      <text>
        <t>Referência por analogia, NÃO medição: mediana dos testes já medidos do nível 'Integração de componentes'. Troque pelo tempo real depois de implementar.</t>
      </text>
    </comment>
    <comment ref="E52" authorId="0" shapeId="0">
      <text>
        <t>Referência por analogia, NÃO medição: mediana dos testes já medidos do nível 'Integração de componentes'. Troque pelo tempo real depois de implementar.</t>
      </text>
    </comment>
    <comment ref="E53" authorId="0" shapeId="0">
      <text>
        <t>Referência por analogia, NÃO medição: mediana dos testes já medidos do nível 'Integração de componentes'. Troque pelo tempo real depois de implementar.</t>
      </text>
    </comment>
    <comment ref="E54" authorId="0" shapeId="0">
      <text>
        <t>Referência por analogia, NÃO medição: mediana dos testes já medidos do nível 'Integração de componentes'. Troque pelo tempo real depois de implementar.</t>
      </text>
    </comment>
    <comment ref="E55" authorId="0" shapeId="0">
      <text>
        <t>Referência por analogia, NÃO medição: mediana dos testes já medidos do nível 'Integração de componentes'. Troque pelo tempo real depois de implementar.</t>
      </text>
    </comment>
    <comment ref="E56" authorId="0" shapeId="0">
      <text>
        <t>Referência por analogia, NÃO medição: mediana dos testes já medidos do nível 'Sistema'. Troque pelo tempo real depois de implementar.</t>
      </text>
    </comment>
    <comment ref="E57" authorId="0" shapeId="0">
      <text>
        <t>Medido em 23/09/2026: tests/acceptance/02_demands.test.ts › CT-DEM-07 levou 447 ms.</t>
      </text>
    </comment>
    <comment ref="E58" authorId="0" shapeId="0">
      <text>
        <t>Medido em 23/09/2026: tests/acceptance/02_demands.test.ts › CT-DEM-08 levou 24 ms.</t>
      </text>
    </comment>
    <comment ref="E59" authorId="0" shapeId="0">
      <text>
        <t>Referência por analogia, NÃO medição: mediana dos testes já medidos do nível 'Integração de componentes'. Troque pelo tempo real depois de implementar.</t>
      </text>
    </comment>
    <comment ref="E60" authorId="0" shapeId="0">
      <text>
        <t>Medido em 23/09/2026: tests/acceptance/02_demands.test.ts › CT-DEM-09 levou 15 ms.</t>
      </text>
    </comment>
    <comment ref="E61" authorId="0" shapeId="0">
      <text>
        <t>Medido em 23/09/2026: tests/acceptance/02_demands.test.ts › CT-DEM-10 levou 14 ms.</t>
      </text>
    </comment>
    <comment ref="E62" authorId="0" shapeId="0">
      <text>
        <t>Referência por analogia, NÃO medição: mediana dos testes já medidos do nível 'Integração de componentes'. Troque pelo tempo real depois de implementar.</t>
      </text>
    </comment>
    <comment ref="E63" authorId="0" shapeId="0">
      <text>
        <t>Referência por analogia, NÃO medição: mediana dos testes já medidos do nível 'Integração de componentes'. Troque pelo tempo real depois de implementar.</t>
      </text>
    </comment>
    <comment ref="E64" authorId="0" shapeId="0">
      <text>
        <t>Medido em 23/09/2026: tests/acceptance/02_demands.test.ts › CT-DEM-11 levou 17 ms.</t>
      </text>
    </comment>
    <comment ref="E65" authorId="0" shapeId="0">
      <text>
        <t>Referência por analogia, NÃO medição: mediana dos testes já medidos do nível 'Integração de componentes'. Troque pelo tempo real depois de implementar.</t>
      </text>
    </comment>
    <comment ref="E66" authorId="0" shapeId="0">
      <text>
        <t>Referência por analogia, NÃO medição: mediana dos testes já medidos do nível 'Integração de componentes'. Troque pelo tempo real depois de implementar.</t>
      </text>
    </comment>
    <comment ref="E67" authorId="0" shapeId="0">
      <text>
        <t>Referência por analogia, NÃO medição: mediana dos testes já medidos do nível 'Sistema'. Troque pelo tempo real depois de implementar.</t>
      </text>
    </comment>
    <comment ref="E68" authorId="0" shapeId="0">
      <text>
        <t>Referência por analogia, NÃO medição: mediana dos testes já medidos do nível 'Sistema'. Troque pelo tempo real depois de implementar.</t>
      </text>
    </comment>
    <comment ref="E69" authorId="0" shapeId="0">
      <text>
        <t>Referência por analogia, NÃO medição: mediana dos testes já medidos do nível 'Sistema'. Troque pelo tempo real depois de implementar.</t>
      </text>
    </comment>
    <comment ref="E70" authorId="0" shapeId="0">
      <text>
        <t>Referência por analogia, NÃO medição: mediana dos testes já medidos do nível 'Componente'. Troque pelo tempo real depois de implementar.</t>
      </text>
    </comment>
    <comment ref="E71" authorId="0" shapeId="0">
      <text>
        <t>Medido em 23/09/2026: tests/acceptance/02_demands.test.ts › CT-DEM-13 levou 14 ms.</t>
      </text>
    </comment>
    <comment ref="E72" authorId="0" shapeId="0">
      <text>
        <t>Medido em 23/09/2026: tests/acceptance/02_demands.test.ts › CT-DEM-14 levou 202 ms.</t>
      </text>
    </comment>
    <comment ref="E73" authorId="0" shapeId="0">
      <text>
        <t>Medido em 23/09/2026: tests/acceptance/02_demands.test.ts › CT-DEM-16 levou 29 ms.</t>
      </text>
    </comment>
    <comment ref="E74" authorId="0" shapeId="0">
      <text>
        <t>Referência por analogia, NÃO medição: mediana dos testes já medidos do nível 'Sistema'. Troque pelo tempo real depois de implementar.</t>
      </text>
    </comment>
    <comment ref="E75" authorId="0" shapeId="0">
      <text>
        <t>Medido em 23/09/2026: tests/acceptance/02_demands.test.ts › CT-DEM-18 levou 87 ms.</t>
      </text>
    </comment>
    <comment ref="E76" authorId="0" shapeId="0">
      <text>
        <t>Medido em 23/09/2026: tests/acceptance/02_demands.test.ts › CT-DEM-18 (mesmo teste do TC70) levou 87 ms.</t>
      </text>
    </comment>
    <comment ref="E77" authorId="0" shapeId="0">
      <text>
        <t>Medido em 23/09/2026: tests/acceptance/02_demands.test.ts › CT-DEM-17 levou 29 ms.</t>
      </text>
    </comment>
    <comment ref="E78" authorId="0" shapeId="0">
      <text>
        <t>Medido em 23/09/2026: tests/acceptance/02_demands.test.ts › CT-DEM-21 levou 7 ms.</t>
      </text>
    </comment>
    <comment ref="E79" authorId="0" shapeId="0">
      <text>
        <t>Medido em 23/09/2026: tests/acceptance/02_demands.test.ts › CT-DEM-19 levou 22 ms.</t>
      </text>
    </comment>
    <comment ref="E80" authorId="0" shapeId="0">
      <text>
        <t>Medido em 23/09/2026: tests/acceptance/02_demands.test.ts › CT-DEM-20 levou 18 ms.</t>
      </text>
    </comment>
    <comment ref="E81" authorId="0" shapeId="0">
      <text>
        <t>Referência por analogia, NÃO medição: mediana dos testes já medidos do nível 'Integração de componentes'. Troque pelo tempo real depois de implementar.</t>
      </text>
    </comment>
    <comment ref="E82" authorId="0" shapeId="0">
      <text>
        <t>Referência por analogia, NÃO medição: mediana dos testes já medidos do nível 'Integração de componentes'. Troque pelo tempo real depois de implementar.</t>
      </text>
    </comment>
    <comment ref="E83" authorId="0" shapeId="0">
      <text>
        <t>Referência por analogia, NÃO medição: mediana dos testes já medidos do nível 'Sistema'. Troque pelo tempo real depois de implementar.</t>
      </text>
    </comment>
    <comment ref="E84" authorId="0" shapeId="0">
      <text>
        <t>Medido em 23/09/2026: e2e/tests/gestor-gerencia-demanda.spec.ts (observação visível a cada etapa) levou 4383 ms.</t>
      </text>
    </comment>
    <comment ref="E85" authorId="0" shapeId="0">
      <text>
        <t>Referência por analogia, NÃO medição: mediana dos testes já medidos do nível 'Sistema'. Troque pelo tempo real depois de implementar.</t>
      </text>
    </comment>
    <comment ref="E86" authorId="0" shapeId="0">
      <text>
        <t>Referência por analogia, NÃO medição: mediana dos testes já medidos do nível 'Sistema'. Troque pelo tempo real depois de implementar.</t>
      </text>
    </comment>
    <comment ref="E87" authorId="0" shapeId="0">
      <text>
        <t>Referência por analogia, NÃO medição: mediana dos testes já medidos do nível 'Sistema'. Troque pelo tempo real depois de implementar.</t>
      </text>
    </comment>
    <comment ref="E88" authorId="0" shapeId="0">
      <text>
        <t>Referência por analogia, NÃO medição: mediana dos testes já medidos do nível 'Integração de componentes'. Troque pelo tempo real depois de implementar.</t>
      </text>
    </comment>
    <comment ref="E89" authorId="0" shapeId="0">
      <text>
        <t>Medido em 23/09/2026: tests/acceptance/03_metrics_and_organs.test.ts › CT-MET-02 levou 30 ms.</t>
      </text>
    </comment>
    <comment ref="E90" authorId="0" shapeId="0">
      <text>
        <t>Medido em 23/09/2026: tests/acceptance/03_metrics_and_organs.test.ts › CT-MET-01 levou 26 ms.</t>
      </text>
    </comment>
    <comment ref="E91" authorId="0" shapeId="0">
      <text>
        <t>Referência por analogia, NÃO medição: mediana dos testes já medidos do nível 'Integração de componentes'. Troque pelo tempo real depois de implementar.</t>
      </text>
    </comment>
    <comment ref="E92" authorId="0" shapeId="0">
      <text>
        <t>Referência por analogia, NÃO medição: mediana dos testes já medidos do nível 'Integração de componentes'. Troque pelo tempo real depois de implementar.</t>
      </text>
    </comment>
    <comment ref="E93" authorId="0" shapeId="0">
      <text>
        <t>Referência por analogia, NÃO medição: mediana dos testes já medidos do nível 'Sistema'. Troque pelo tempo real depois de implementar.</t>
      </text>
    </comment>
    <comment ref="E94" authorId="0" shapeId="0">
      <text>
        <t>Referência por analogia, NÃO medição: mediana dos testes já medidos do nível 'Sistema'. Troque pelo tempo real depois de implementar.</t>
      </text>
    </comment>
    <comment ref="E95" authorId="0" shapeId="0">
      <text>
        <t>Referência por analogia, NÃO medição: mediana dos testes já medidos do nível 'Sistema'. Troque pelo tempo real depois de implementar.</t>
      </text>
    </comment>
    <comment ref="E96" authorId="0" shapeId="0">
      <text>
        <t>Referência por analogia, NÃO medição: mediana dos testes já medidos do nível 'Sistema'. Troque pelo tempo real depois de implementar.</t>
      </text>
    </comment>
    <comment ref="E97" authorId="0" shapeId="0">
      <text>
        <t>Referência por analogia, NÃO medição: mediana dos testes já medidos do nível 'Sistema'. Troque pelo tempo real depois de implementar.</t>
      </text>
    </comment>
    <comment ref="E98" authorId="0" shapeId="0">
      <text>
        <t>Referência por analogia, NÃO medição: mediana dos testes já medidos do nível 'Sistema'. Troque pelo tempo real depois de implementar.</t>
      </text>
    </comment>
    <comment ref="E99" authorId="0" shapeId="0">
      <text>
        <t>Referência por analogia, NÃO medição: mediana dos testes já medidos do nível 'Sistema'. Troque pelo tempo real depois de implementar.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28" customWidth="1" min="8" max="8"/>
    <col width="10" customWidth="1" min="9" max="9"/>
    <col width="10" customWidth="1" min="10" max="10"/>
    <col width="9" customWidth="1" min="11" max="11"/>
    <col width="15" customWidth="1" min="12" max="12"/>
    <col width="48" customWidth="1" min="13" max="13"/>
    <col width="26" customWidth="1" min="14" max="14"/>
    <col width="44" customWidth="1" min="15" max="15"/>
    <col width="20" customWidth="1" min="16" max="16"/>
    <col width="55" customWidth="1" min="17" max="17"/>
    <col width="12" customWidth="1" min="18" max="18"/>
  </cols>
  <sheetData>
    <row r="1">
      <c r="A1" s="1" t="inlineStr">
        <is>
          <t>Urbanize — Seleção para automação (casos TC01–TC94 da rodada 2)</t>
        </is>
      </c>
    </row>
    <row r="2">
      <c r="A2" s="2" t="inlineStr">
        <is>
          <t>Preencha só as células AMARELAS. Azul = veio do repositório (passe o mouse para ver a origem). Cinza = calculado. Passo a passo e exemplos na aba 'Como preencher'.</t>
        </is>
      </c>
    </row>
    <row r="3">
      <c r="A3" s="3" t="inlineStr">
        <is>
          <t>Meses restantes até a entrega (horizonte):</t>
        </is>
      </c>
      <c r="D3" s="4" t="n"/>
    </row>
    <row r="5" ht="42" customHeight="1">
      <c r="A5" s="5" t="inlineStr">
        <is>
          <t>ID</t>
        </is>
      </c>
      <c r="B5" s="5" t="inlineStr">
        <is>
          <t>Nível</t>
        </is>
      </c>
      <c r="C5" s="5" t="inlineStr">
        <is>
          <t>Tm manual/exec (min)</t>
        </is>
      </c>
      <c r="D5" s="5" t="inlineStr">
        <is>
          <t>Ti implementar (min)</t>
        </is>
      </c>
      <c r="E5" s="5" t="inlineStr">
        <is>
          <t>Ta auto/exec (s)</t>
        </is>
      </c>
      <c r="F5" s="5" t="inlineStr">
        <is>
          <t>Mn manut./mês (min)</t>
        </is>
      </c>
      <c r="G5" s="5" t="inlineStr">
        <is>
          <t>F exec./mês</t>
        </is>
      </c>
      <c r="H5" s="5" t="inlineStr">
        <is>
          <t>Automatizar?</t>
        </is>
      </c>
      <c r="I5" s="5" t="inlineStr">
        <is>
          <t>Ganho por execução (min)</t>
        </is>
      </c>
      <c r="J5" s="5" t="inlineStr">
        <is>
          <t>Execuções até o retorno</t>
        </is>
      </c>
      <c r="K5" s="5" t="inlineStr">
        <is>
          <t>Meses até o retorno</t>
        </is>
      </c>
      <c r="L5" s="5" t="inlineStr">
        <is>
          <t>Situação atual</t>
        </is>
      </c>
      <c r="M5" s="5" t="inlineStr">
        <is>
          <t>Título do caso</t>
        </is>
      </c>
      <c r="N5" s="5" t="inlineStr">
        <is>
          <t>HU</t>
        </is>
      </c>
      <c r="O5" s="5" t="inlineStr">
        <is>
          <t>Teste automatizado que cobre</t>
        </is>
      </c>
      <c r="P5" s="5" t="inlineStr">
        <is>
          <t>Responsável pela execução manual (se Não)</t>
        </is>
      </c>
      <c r="Q5" s="5" t="inlineStr">
        <is>
          <t>Observações</t>
        </is>
      </c>
      <c r="R5" s="5" t="inlineStr">
        <is>
          <t>Campos faltando</t>
        </is>
      </c>
    </row>
    <row r="6">
      <c r="A6" s="6" t="inlineStr">
        <is>
          <t>TC01</t>
        </is>
      </c>
      <c r="B6" s="6" t="inlineStr">
        <is>
          <t>Integração de componentes</t>
        </is>
      </c>
      <c r="C6" s="7" t="n"/>
      <c r="D6" s="8" t="n"/>
      <c r="E6" s="9" t="n">
        <v>0.347</v>
      </c>
      <c r="F6" s="7" t="n"/>
      <c r="G6" s="10" t="n"/>
      <c r="H6" s="11">
        <f>IF(R6&lt;&gt;"","Falta preencher: "&amp;R6,IF(G6&lt;=0,"F precisa ser maior que 0",IF(L6="Automatizado",IF(I6&gt;0,"Sim (manter)","Não (aposentar e voltar ao manual)"),IF(I6&lt;=0,"Não",IF($D$3="","Sim, se faltarem pelo menos "&amp;FIXED(K6,1)&amp;" meses",IF(J6&lt;=G6*$D$3,"Sim","Não"))))))</f>
        <v/>
      </c>
      <c r="I6" s="12">
        <f>IF(R6&lt;&gt;"","",IF(G6&lt;=0,"",C6-E6/60-F6/G6))</f>
        <v/>
      </c>
      <c r="J6" s="13">
        <f>IF(OR(I6="",D6=""),"",IF(I6&lt;=0,"nunca",ROUNDUP(D6/I6,0)))</f>
        <v/>
      </c>
      <c r="K6" s="12">
        <f>IF(OR(J6="",J6="nunca"),"",J6/G6)</f>
        <v/>
      </c>
      <c r="L6" s="14" t="inlineStr">
        <is>
          <t>Automatizado</t>
        </is>
      </c>
      <c r="M6" s="15" t="inlineStr">
        <is>
          <t>Cadastrar usuário com dados válidos.</t>
        </is>
      </c>
      <c r="N6" s="6" t="inlineStr">
        <is>
          <t>HU-01 Cadastro de conta</t>
        </is>
      </c>
      <c r="O6" s="15" t="inlineStr">
        <is>
          <t>tests/acceptance/01_auth.test.ts › CT-AUTH-01</t>
        </is>
      </c>
      <c r="P6" s="14" t="n"/>
      <c r="Q6" s="15" t="inlineStr"/>
      <c r="R6" s="13">
        <f>TRIM(IF(C6="","Tm ","")&amp;IF(AND(D6="",L6&lt;&gt;"Automatizado"),"Ti ","")&amp;IF(E6="","Ta ","")&amp;IF(F6="","Mn ","")&amp;IF(G6="","F ",""))</f>
        <v/>
      </c>
    </row>
    <row r="7">
      <c r="A7" s="6" t="inlineStr">
        <is>
          <t>TC02</t>
        </is>
      </c>
      <c r="B7" s="6" t="inlineStr">
        <is>
          <t>Integração de componentes</t>
        </is>
      </c>
      <c r="C7" s="7" t="n"/>
      <c r="D7" s="10" t="n"/>
      <c r="E7" s="9" t="n">
        <v>0.024</v>
      </c>
      <c r="F7" s="7" t="n"/>
      <c r="G7" s="10" t="n"/>
      <c r="H7" s="11">
        <f>IF(R7&lt;&gt;"","Falta preencher: "&amp;R7,IF(G7&lt;=0,"F precisa ser maior que 0",IF(L7="Automatizado",IF(I7&gt;0,"Sim (manter)","Não (aposentar e voltar ao manual)"),IF(I7&lt;=0,"Não",IF($D$3="","Sim, se faltarem pelo menos "&amp;FIXED(K7,1)&amp;" meses",IF(J7&lt;=G7*$D$3,"Sim","Não"))))))</f>
        <v/>
      </c>
      <c r="I7" s="12">
        <f>IF(R7&lt;&gt;"","",IF(G7&lt;=0,"",C7-E7/60-F7/G7))</f>
        <v/>
      </c>
      <c r="J7" s="13">
        <f>IF(OR(I7="",D7=""),"",IF(I7&lt;=0,"nunca",ROUNDUP(D7/I7,0)))</f>
        <v/>
      </c>
      <c r="K7" s="12">
        <f>IF(OR(J7="",J7="nunca"),"",J7/G7)</f>
        <v/>
      </c>
      <c r="L7" s="14" t="inlineStr">
        <is>
          <t>Não automatizado</t>
        </is>
      </c>
      <c r="M7" s="15" t="inlineStr">
        <is>
          <t>Verificar que o cadastro cria o cookie de sessão HTTP-only.</t>
        </is>
      </c>
      <c r="N7" s="6" t="inlineStr">
        <is>
          <t>HU-01 Cadastro de conta</t>
        </is>
      </c>
      <c r="O7" s="15" t="inlineStr"/>
      <c r="P7" s="14" t="n"/>
      <c r="Q7" s="15" t="inlineStr">
        <is>
          <t>CT-AUTH-01 confere só o nome do cookie (urbanize_session), não o atributo HttpOnly. Falta 1 assert.</t>
        </is>
      </c>
      <c r="R7" s="13">
        <f>TRIM(IF(C7="","Tm ","")&amp;IF(AND(D7="",L7&lt;&gt;"Automatizado"),"Ti ","")&amp;IF(E7="","Ta ","")&amp;IF(F7="","Mn ","")&amp;IF(G7="","F ",""))</f>
        <v/>
      </c>
    </row>
    <row r="8">
      <c r="A8" s="6" t="inlineStr">
        <is>
          <t>TC03</t>
        </is>
      </c>
      <c r="B8" s="6" t="inlineStr">
        <is>
          <t>Integração de componentes</t>
        </is>
      </c>
      <c r="C8" s="7" t="n"/>
      <c r="D8" s="10" t="n"/>
      <c r="E8" s="9" t="n">
        <v>0.024</v>
      </c>
      <c r="F8" s="7" t="n"/>
      <c r="G8" s="10" t="n"/>
      <c r="H8" s="11">
        <f>IF(R8&lt;&gt;"","Falta preencher: "&amp;R8,IF(G8&lt;=0,"F precisa ser maior que 0",IF(L8="Automatizado",IF(I8&gt;0,"Sim (manter)","Não (aposentar e voltar ao manual)"),IF(I8&lt;=0,"Não",IF($D$3="","Sim, se faltarem pelo menos "&amp;FIXED(K8,1)&amp;" meses",IF(J8&lt;=G8*$D$3,"Sim","Não"))))))</f>
        <v/>
      </c>
      <c r="I8" s="12">
        <f>IF(R8&lt;&gt;"","",IF(G8&lt;=0,"",C8-E8/60-F8/G8))</f>
        <v/>
      </c>
      <c r="J8" s="13">
        <f>IF(OR(I8="",D8=""),"",IF(I8&lt;=0,"nunca",ROUNDUP(D8/I8,0)))</f>
        <v/>
      </c>
      <c r="K8" s="12">
        <f>IF(OR(J8="",J8="nunca"),"",J8/G8)</f>
        <v/>
      </c>
      <c r="L8" s="14" t="inlineStr">
        <is>
          <t>Não automatizado</t>
        </is>
      </c>
      <c r="M8" s="15" t="inlineStr">
        <is>
          <t>Atribuir o perfil cidadao quando role é omitido.</t>
        </is>
      </c>
      <c r="N8" s="6" t="inlineStr">
        <is>
          <t>HU-01 Cadastro de conta</t>
        </is>
      </c>
      <c r="O8" s="15" t="inlineStr"/>
      <c r="P8" s="14" t="n"/>
      <c r="Q8" s="15" t="inlineStr">
        <is>
          <t>CT-AUTH-01 envia role explicitamente; nenhum teste omite role.</t>
        </is>
      </c>
      <c r="R8" s="13">
        <f>TRIM(IF(C8="","Tm ","")&amp;IF(AND(D8="",L8&lt;&gt;"Automatizado"),"Ti ","")&amp;IF(E8="","Ta ","")&amp;IF(F8="","Mn ","")&amp;IF(G8="","F ",""))</f>
        <v/>
      </c>
    </row>
    <row r="9">
      <c r="A9" s="6" t="inlineStr">
        <is>
          <t>TC04</t>
        </is>
      </c>
      <c r="B9" s="6" t="inlineStr">
        <is>
          <t>Integração de componentes</t>
        </is>
      </c>
      <c r="C9" s="7" t="n"/>
      <c r="D9" s="10" t="n"/>
      <c r="E9" s="9" t="n">
        <v>0.024</v>
      </c>
      <c r="F9" s="7" t="n"/>
      <c r="G9" s="10" t="n"/>
      <c r="H9" s="11">
        <f>IF(R9&lt;&gt;"","Falta preencher: "&amp;R9,IF(G9&lt;=0,"F precisa ser maior que 0",IF(L9="Automatizado",IF(I9&gt;0,"Sim (manter)","Não (aposentar e voltar ao manual)"),IF(I9&lt;=0,"Não",IF($D$3="","Sim, se faltarem pelo menos "&amp;FIXED(K9,1)&amp;" meses",IF(J9&lt;=G9*$D$3,"Sim","Não"))))))</f>
        <v/>
      </c>
      <c r="I9" s="12">
        <f>IF(R9&lt;&gt;"","",IF(G9&lt;=0,"",C9-E9/60-F9/G9))</f>
        <v/>
      </c>
      <c r="J9" s="13">
        <f>IF(OR(I9="",D9=""),"",IF(I9&lt;=0,"nunca",ROUNDUP(D9/I9,0)))</f>
        <v/>
      </c>
      <c r="K9" s="12">
        <f>IF(OR(J9="",J9="nunca"),"",J9/G9)</f>
        <v/>
      </c>
      <c r="L9" s="14" t="inlineStr">
        <is>
          <t>Não automatizado</t>
        </is>
      </c>
      <c r="M9" s="15" t="inlineStr">
        <is>
          <t>Cadastrar usuário com perfil gestor.</t>
        </is>
      </c>
      <c r="N9" s="6" t="inlineStr">
        <is>
          <t>HU-01 Cadastro de conta</t>
        </is>
      </c>
      <c r="O9" s="15" t="inlineStr"/>
      <c r="P9" s="14" t="n"/>
      <c r="Q9" s="15" t="inlineStr"/>
      <c r="R9" s="13">
        <f>TRIM(IF(C9="","Tm ","")&amp;IF(AND(D9="",L9&lt;&gt;"Automatizado"),"Ti ","")&amp;IF(E9="","Ta ","")&amp;IF(F9="","Mn ","")&amp;IF(G9="","F ",""))</f>
        <v/>
      </c>
    </row>
    <row r="10">
      <c r="A10" s="6" t="inlineStr">
        <is>
          <t>TC05</t>
        </is>
      </c>
      <c r="B10" s="6" t="inlineStr">
        <is>
          <t>Integração de componentes</t>
        </is>
      </c>
      <c r="C10" s="7" t="n"/>
      <c r="D10" s="10" t="n"/>
      <c r="E10" s="9" t="n">
        <v>0.024</v>
      </c>
      <c r="F10" s="7" t="n"/>
      <c r="G10" s="10" t="n"/>
      <c r="H10" s="11">
        <f>IF(R10&lt;&gt;"","Falta preencher: "&amp;R10,IF(G10&lt;=0,"F precisa ser maior que 0",IF(L10="Automatizado",IF(I10&gt;0,"Sim (manter)","Não (aposentar e voltar ao manual)"),IF(I10&lt;=0,"Não",IF($D$3="","Sim, se faltarem pelo menos "&amp;FIXED(K10,1)&amp;" meses",IF(J10&lt;=G10*$D$3,"Sim","Não"))))))</f>
        <v/>
      </c>
      <c r="I10" s="12">
        <f>IF(R10&lt;&gt;"","",IF(G10&lt;=0,"",C10-E10/60-F10/G10))</f>
        <v/>
      </c>
      <c r="J10" s="13">
        <f>IF(OR(I10="",D10=""),"",IF(I10&lt;=0,"nunca",ROUNDUP(D10/I10,0)))</f>
        <v/>
      </c>
      <c r="K10" s="12">
        <f>IF(OR(J10="",J10="nunca"),"",J10/G10)</f>
        <v/>
      </c>
      <c r="L10" s="14" t="inlineStr">
        <is>
          <t>Não automatizado</t>
        </is>
      </c>
      <c r="M10" s="15" t="inlineStr">
        <is>
          <t>Recusar cadastro com role fora do enum.</t>
        </is>
      </c>
      <c r="N10" s="6" t="inlineStr">
        <is>
          <t>HU-01 Cadastro de conta</t>
        </is>
      </c>
      <c r="O10" s="15" t="inlineStr"/>
      <c r="P10" s="14" t="n"/>
      <c r="Q10" s="15" t="inlineStr">
        <is>
          <t>CT-AUTH-03 não envia role fora do enum.</t>
        </is>
      </c>
      <c r="R10" s="13">
        <f>TRIM(IF(C10="","Tm ","")&amp;IF(AND(D10="",L10&lt;&gt;"Automatizado"),"Ti ","")&amp;IF(E10="","Ta ","")&amp;IF(F10="","Mn ","")&amp;IF(G10="","F ",""))</f>
        <v/>
      </c>
    </row>
    <row r="11">
      <c r="A11" s="6" t="inlineStr">
        <is>
          <t>TC06</t>
        </is>
      </c>
      <c r="B11" s="6" t="inlineStr">
        <is>
          <t>Integração de componentes</t>
        </is>
      </c>
      <c r="C11" s="7" t="n"/>
      <c r="D11" s="10" t="n"/>
      <c r="E11" s="9" t="n">
        <v>0.024</v>
      </c>
      <c r="F11" s="7" t="n"/>
      <c r="G11" s="10" t="n"/>
      <c r="H11" s="11">
        <f>IF(R11&lt;&gt;"","Falta preencher: "&amp;R11,IF(G11&lt;=0,"F precisa ser maior que 0",IF(L11="Automatizado",IF(I11&gt;0,"Sim (manter)","Não (aposentar e voltar ao manual)"),IF(I11&lt;=0,"Não",IF($D$3="","Sim, se faltarem pelo menos "&amp;FIXED(K11,1)&amp;" meses",IF(J11&lt;=G11*$D$3,"Sim","Não"))))))</f>
        <v/>
      </c>
      <c r="I11" s="12">
        <f>IF(R11&lt;&gt;"","",IF(G11&lt;=0,"",C11-E11/60-F11/G11))</f>
        <v/>
      </c>
      <c r="J11" s="13">
        <f>IF(OR(I11="",D11=""),"",IF(I11&lt;=0,"nunca",ROUNDUP(D11/I11,0)))</f>
        <v/>
      </c>
      <c r="K11" s="12">
        <f>IF(OR(J11="",J11="nunca"),"",J11/G11)</f>
        <v/>
      </c>
      <c r="L11" s="14" t="inlineStr">
        <is>
          <t>Não automatizado</t>
        </is>
      </c>
      <c r="M11" s="15" t="inlineStr">
        <is>
          <t>Recusar cadastro com nome de 1 caractere.</t>
        </is>
      </c>
      <c r="N11" s="6" t="inlineStr">
        <is>
          <t>HU-01 Cadastro de conta</t>
        </is>
      </c>
      <c r="O11" s="15" t="inlineStr"/>
      <c r="P11" s="14" t="n"/>
      <c r="Q11" s="15" t="inlineStr">
        <is>
          <t>CT-AUTH-03 manda nome curto E e-mail inválido no mesmo payload: não isola esta regra.</t>
        </is>
      </c>
      <c r="R11" s="13">
        <f>TRIM(IF(C11="","Tm ","")&amp;IF(AND(D11="",L11&lt;&gt;"Automatizado"),"Ti ","")&amp;IF(E11="","Ta ","")&amp;IF(F11="","Mn ","")&amp;IF(G11="","F ",""))</f>
        <v/>
      </c>
    </row>
    <row r="12">
      <c r="A12" s="6" t="inlineStr">
        <is>
          <t>TC07</t>
        </is>
      </c>
      <c r="B12" s="6" t="inlineStr">
        <is>
          <t>Integração de componentes</t>
        </is>
      </c>
      <c r="C12" s="7" t="n"/>
      <c r="D12" s="10" t="n"/>
      <c r="E12" s="9" t="n">
        <v>0.024</v>
      </c>
      <c r="F12" s="7" t="n"/>
      <c r="G12" s="10" t="n"/>
      <c r="H12" s="11">
        <f>IF(R12&lt;&gt;"","Falta preencher: "&amp;R12,IF(G12&lt;=0,"F precisa ser maior que 0",IF(L12="Automatizado",IF(I12&gt;0,"Sim (manter)","Não (aposentar e voltar ao manual)"),IF(I12&lt;=0,"Não",IF($D$3="","Sim, se faltarem pelo menos "&amp;FIXED(K12,1)&amp;" meses",IF(J12&lt;=G12*$D$3,"Sim","Não"))))))</f>
        <v/>
      </c>
      <c r="I12" s="12">
        <f>IF(R12&lt;&gt;"","",IF(G12&lt;=0,"",C12-E12/60-F12/G12))</f>
        <v/>
      </c>
      <c r="J12" s="13">
        <f>IF(OR(I12="",D12=""),"",IF(I12&lt;=0,"nunca",ROUNDUP(D12/I12,0)))</f>
        <v/>
      </c>
      <c r="K12" s="12">
        <f>IF(OR(J12="",J12="nunca"),"",J12/G12)</f>
        <v/>
      </c>
      <c r="L12" s="14" t="inlineStr">
        <is>
          <t>Não automatizado</t>
        </is>
      </c>
      <c r="M12" s="15" t="inlineStr">
        <is>
          <t>Aceitar cadastro com nome de 2 caracteres.</t>
        </is>
      </c>
      <c r="N12" s="6" t="inlineStr">
        <is>
          <t>HU-01 Cadastro de conta</t>
        </is>
      </c>
      <c r="O12" s="15" t="inlineStr"/>
      <c r="P12" s="14" t="n"/>
      <c r="Q12" s="15" t="inlineStr"/>
      <c r="R12" s="13">
        <f>TRIM(IF(C12="","Tm ","")&amp;IF(AND(D12="",L12&lt;&gt;"Automatizado"),"Ti ","")&amp;IF(E12="","Ta ","")&amp;IF(F12="","Mn ","")&amp;IF(G12="","F ",""))</f>
        <v/>
      </c>
    </row>
    <row r="13">
      <c r="A13" s="6" t="inlineStr">
        <is>
          <t>TC08</t>
        </is>
      </c>
      <c r="B13" s="6" t="inlineStr">
        <is>
          <t>Integração de componentes</t>
        </is>
      </c>
      <c r="C13" s="7" t="n"/>
      <c r="D13" s="10" t="n"/>
      <c r="E13" s="9" t="n">
        <v>0.024</v>
      </c>
      <c r="F13" s="7" t="n"/>
      <c r="G13" s="10" t="n"/>
      <c r="H13" s="11">
        <f>IF(R13&lt;&gt;"","Falta preencher: "&amp;R13,IF(G13&lt;=0,"F precisa ser maior que 0",IF(L13="Automatizado",IF(I13&gt;0,"Sim (manter)","Não (aposentar e voltar ao manual)"),IF(I13&lt;=0,"Não",IF($D$3="","Sim, se faltarem pelo menos "&amp;FIXED(K13,1)&amp;" meses",IF(J13&lt;=G13*$D$3,"Sim","Não"))))))</f>
        <v/>
      </c>
      <c r="I13" s="12">
        <f>IF(R13&lt;&gt;"","",IF(G13&lt;=0,"",C13-E13/60-F13/G13))</f>
        <v/>
      </c>
      <c r="J13" s="13">
        <f>IF(OR(I13="",D13=""),"",IF(I13&lt;=0,"nunca",ROUNDUP(D13/I13,0)))</f>
        <v/>
      </c>
      <c r="K13" s="12">
        <f>IF(OR(J13="",J13="nunca"),"",J13/G13)</f>
        <v/>
      </c>
      <c r="L13" s="14" t="inlineStr">
        <is>
          <t>Não automatizado</t>
        </is>
      </c>
      <c r="M13" s="15" t="inlineStr">
        <is>
          <t>Recusar cadastro com senha vazia.</t>
        </is>
      </c>
      <c r="N13" s="6" t="inlineStr">
        <is>
          <t>HU-01 Cadastro de conta</t>
        </is>
      </c>
      <c r="O13" s="15" t="inlineStr"/>
      <c r="P13" s="14" t="n"/>
      <c r="Q13" s="15" t="inlineStr"/>
      <c r="R13" s="13">
        <f>TRIM(IF(C13="","Tm ","")&amp;IF(AND(D13="",L13&lt;&gt;"Automatizado"),"Ti ","")&amp;IF(E13="","Ta ","")&amp;IF(F13="","Mn ","")&amp;IF(G13="","F ",""))</f>
        <v/>
      </c>
    </row>
    <row r="14">
      <c r="A14" s="6" t="inlineStr">
        <is>
          <t>TC09</t>
        </is>
      </c>
      <c r="B14" s="6" t="inlineStr">
        <is>
          <t>Integração de componentes</t>
        </is>
      </c>
      <c r="C14" s="7" t="n"/>
      <c r="D14" s="10" t="n"/>
      <c r="E14" s="9" t="n">
        <v>0.024</v>
      </c>
      <c r="F14" s="7" t="n"/>
      <c r="G14" s="10" t="n"/>
      <c r="H14" s="11">
        <f>IF(R14&lt;&gt;"","Falta preencher: "&amp;R14,IF(G14&lt;=0,"F precisa ser maior que 0",IF(L14="Automatizado",IF(I14&gt;0,"Sim (manter)","Não (aposentar e voltar ao manual)"),IF(I14&lt;=0,"Não",IF($D$3="","Sim, se faltarem pelo menos "&amp;FIXED(K14,1)&amp;" meses",IF(J14&lt;=G14*$D$3,"Sim","Não"))))))</f>
        <v/>
      </c>
      <c r="I14" s="12">
        <f>IF(R14&lt;&gt;"","",IF(G14&lt;=0,"",C14-E14/60-F14/G14))</f>
        <v/>
      </c>
      <c r="J14" s="13">
        <f>IF(OR(I14="",D14=""),"",IF(I14&lt;=0,"nunca",ROUNDUP(D14/I14,0)))</f>
        <v/>
      </c>
      <c r="K14" s="12">
        <f>IF(OR(J14="",J14="nunca"),"",J14/G14)</f>
        <v/>
      </c>
      <c r="L14" s="14" t="inlineStr">
        <is>
          <t>Não automatizado</t>
        </is>
      </c>
      <c r="M14" s="15" t="inlineStr">
        <is>
          <t>Aceitar cadastro com senha de 1 caractere.</t>
        </is>
      </c>
      <c r="N14" s="6" t="inlineStr">
        <is>
          <t>HU-01 Cadastro de conta</t>
        </is>
      </c>
      <c r="O14" s="15" t="inlineStr"/>
      <c r="P14" s="14" t="n"/>
      <c r="Q14" s="15" t="inlineStr"/>
      <c r="R14" s="13">
        <f>TRIM(IF(C14="","Tm ","")&amp;IF(AND(D14="",L14&lt;&gt;"Automatizado"),"Ti ","")&amp;IF(E14="","Ta ","")&amp;IF(F14="","Mn ","")&amp;IF(G14="","F ",""))</f>
        <v/>
      </c>
    </row>
    <row r="15">
      <c r="A15" s="6" t="inlineStr">
        <is>
          <t>TC10</t>
        </is>
      </c>
      <c r="B15" s="6" t="inlineStr">
        <is>
          <t>Integração de componentes</t>
        </is>
      </c>
      <c r="C15" s="7" t="n"/>
      <c r="D15" s="10" t="n"/>
      <c r="E15" s="9" t="n">
        <v>0.024</v>
      </c>
      <c r="F15" s="7" t="n"/>
      <c r="G15" s="10" t="n"/>
      <c r="H15" s="11">
        <f>IF(R15&lt;&gt;"","Falta preencher: "&amp;R15,IF(G15&lt;=0,"F precisa ser maior que 0",IF(L15="Automatizado",IF(I15&gt;0,"Sim (manter)","Não (aposentar e voltar ao manual)"),IF(I15&lt;=0,"Não",IF($D$3="","Sim, se faltarem pelo menos "&amp;FIXED(K15,1)&amp;" meses",IF(J15&lt;=G15*$D$3,"Sim","Não"))))))</f>
        <v/>
      </c>
      <c r="I15" s="12">
        <f>IF(R15&lt;&gt;"","",IF(G15&lt;=0,"",C15-E15/60-F15/G15))</f>
        <v/>
      </c>
      <c r="J15" s="13">
        <f>IF(OR(I15="",D15=""),"",IF(I15&lt;=0,"nunca",ROUNDUP(D15/I15,0)))</f>
        <v/>
      </c>
      <c r="K15" s="12">
        <f>IF(OR(J15="",J15="nunca"),"",J15/G15)</f>
        <v/>
      </c>
      <c r="L15" s="14" t="inlineStr">
        <is>
          <t>Não automatizado</t>
        </is>
      </c>
      <c r="M15" s="15" t="inlineStr">
        <is>
          <t>Recusar cadastro com e-mail em formato inválido.</t>
        </is>
      </c>
      <c r="N15" s="6" t="inlineStr">
        <is>
          <t>HU-01 Cadastro de conta</t>
        </is>
      </c>
      <c r="O15" s="15" t="inlineStr"/>
      <c r="P15" s="14" t="n"/>
      <c r="Q15" s="15" t="inlineStr">
        <is>
          <t>CT-AUTH-03 manda nome curto E e-mail inválido no mesmo payload: não isola esta regra.</t>
        </is>
      </c>
      <c r="R15" s="13">
        <f>TRIM(IF(C15="","Tm ","")&amp;IF(AND(D15="",L15&lt;&gt;"Automatizado"),"Ti ","")&amp;IF(E15="","Ta ","")&amp;IF(F15="","Mn ","")&amp;IF(G15="","F ",""))</f>
        <v/>
      </c>
    </row>
    <row r="16">
      <c r="A16" s="6" t="inlineStr">
        <is>
          <t>TC11</t>
        </is>
      </c>
      <c r="B16" s="6" t="inlineStr">
        <is>
          <t>Integração de componentes</t>
        </is>
      </c>
      <c r="C16" s="7" t="n"/>
      <c r="D16" s="8" t="n"/>
      <c r="E16" s="9" t="n">
        <v>0.213</v>
      </c>
      <c r="F16" s="7" t="n"/>
      <c r="G16" s="10" t="n"/>
      <c r="H16" s="11">
        <f>IF(R16&lt;&gt;"","Falta preencher: "&amp;R16,IF(G16&lt;=0,"F precisa ser maior que 0",IF(L16="Automatizado",IF(I16&gt;0,"Sim (manter)","Não (aposentar e voltar ao manual)"),IF(I16&lt;=0,"Não",IF($D$3="","Sim, se faltarem pelo menos "&amp;FIXED(K16,1)&amp;" meses",IF(J16&lt;=G16*$D$3,"Sim","Não"))))))</f>
        <v/>
      </c>
      <c r="I16" s="12">
        <f>IF(R16&lt;&gt;"","",IF(G16&lt;=0,"",C16-E16/60-F16/G16))</f>
        <v/>
      </c>
      <c r="J16" s="13">
        <f>IF(OR(I16="",D16=""),"",IF(I16&lt;=0,"nunca",ROUNDUP(D16/I16,0)))</f>
        <v/>
      </c>
      <c r="K16" s="12">
        <f>IF(OR(J16="",J16="nunca"),"",J16/G16)</f>
        <v/>
      </c>
      <c r="L16" s="14" t="inlineStr">
        <is>
          <t>Automatizado</t>
        </is>
      </c>
      <c r="M16" s="15" t="inlineStr">
        <is>
          <t>Recusar cadastro com e-mail já cadastrado.</t>
        </is>
      </c>
      <c r="N16" s="6" t="inlineStr">
        <is>
          <t>HU-01 Cadastro de conta</t>
        </is>
      </c>
      <c r="O16" s="15" t="inlineStr">
        <is>
          <t>tests/acceptance/01_auth.test.ts › CT-AUTH-02</t>
        </is>
      </c>
      <c r="P16" s="14" t="n"/>
      <c r="Q16" s="15" t="inlineStr"/>
      <c r="R16" s="13">
        <f>TRIM(IF(C16="","Tm ","")&amp;IF(AND(D16="",L16&lt;&gt;"Automatizado"),"Ti ","")&amp;IF(E16="","Ta ","")&amp;IF(F16="","Mn ","")&amp;IF(G16="","F ",""))</f>
        <v/>
      </c>
    </row>
    <row r="17">
      <c r="A17" s="6" t="inlineStr">
        <is>
          <t>TC12</t>
        </is>
      </c>
      <c r="B17" s="6" t="inlineStr">
        <is>
          <t>Sistema</t>
        </is>
      </c>
      <c r="C17" s="7" t="n"/>
      <c r="D17" s="10" t="n"/>
      <c r="E17" s="9" t="n">
        <v>2.706</v>
      </c>
      <c r="F17" s="7" t="n"/>
      <c r="G17" s="10" t="n"/>
      <c r="H17" s="11">
        <f>IF(R17&lt;&gt;"","Falta preencher: "&amp;R17,IF(G17&lt;=0,"F precisa ser maior que 0",IF(L17="Automatizado",IF(I17&gt;0,"Sim (manter)","Não (aposentar e voltar ao manual)"),IF(I17&lt;=0,"Não",IF($D$3="","Sim, se faltarem pelo menos "&amp;FIXED(K17,1)&amp;" meses",IF(J17&lt;=G17*$D$3,"Sim","Não"))))))</f>
        <v/>
      </c>
      <c r="I17" s="12">
        <f>IF(R17&lt;&gt;"","",IF(G17&lt;=0,"",C17-E17/60-F17/G17))</f>
        <v/>
      </c>
      <c r="J17" s="13">
        <f>IF(OR(I17="",D17=""),"",IF(I17&lt;=0,"nunca",ROUNDUP(D17/I17,0)))</f>
        <v/>
      </c>
      <c r="K17" s="12">
        <f>IF(OR(J17="",J17="nunca"),"",J17/G17)</f>
        <v/>
      </c>
      <c r="L17" s="14" t="inlineStr">
        <is>
          <t>Não automatizado</t>
        </is>
      </c>
      <c r="M17" s="15" t="inlineStr">
        <is>
          <t>Criar conta de cidadão pela tela de cadastro.</t>
        </is>
      </c>
      <c r="N17" s="6" t="inlineStr">
        <is>
          <t>HU-01 Cadastro de conta</t>
        </is>
      </c>
      <c r="O17" s="15" t="inlineStr"/>
      <c r="P17" s="14" t="n"/>
      <c r="Q17" s="15" t="inlineStr"/>
      <c r="R17" s="13">
        <f>TRIM(IF(C17="","Tm ","")&amp;IF(AND(D17="",L17&lt;&gt;"Automatizado"),"Ti ","")&amp;IF(E17="","Ta ","")&amp;IF(F17="","Mn ","")&amp;IF(G17="","F ",""))</f>
        <v/>
      </c>
    </row>
    <row r="18">
      <c r="A18" s="6" t="inlineStr">
        <is>
          <t>TC13</t>
        </is>
      </c>
      <c r="B18" s="6" t="inlineStr">
        <is>
          <t>Integração de componentes</t>
        </is>
      </c>
      <c r="C18" s="7" t="n"/>
      <c r="D18" s="8" t="n"/>
      <c r="E18" s="9" t="n">
        <v>0.17</v>
      </c>
      <c r="F18" s="7" t="n"/>
      <c r="G18" s="10" t="n"/>
      <c r="H18" s="11">
        <f>IF(R18&lt;&gt;"","Falta preencher: "&amp;R18,IF(G18&lt;=0,"F precisa ser maior que 0",IF(L18="Automatizado",IF(I18&gt;0,"Sim (manter)","Não (aposentar e voltar ao manual)"),IF(I18&lt;=0,"Não",IF($D$3="","Sim, se faltarem pelo menos "&amp;FIXED(K18,1)&amp;" meses",IF(J18&lt;=G18*$D$3,"Sim","Não"))))))</f>
        <v/>
      </c>
      <c r="I18" s="12">
        <f>IF(R18&lt;&gt;"","",IF(G18&lt;=0,"",C18-E18/60-F18/G18))</f>
        <v/>
      </c>
      <c r="J18" s="13">
        <f>IF(OR(I18="",D18=""),"",IF(I18&lt;=0,"nunca",ROUNDUP(D18/I18,0)))</f>
        <v/>
      </c>
      <c r="K18" s="12">
        <f>IF(OR(J18="",J18="nunca"),"",J18/G18)</f>
        <v/>
      </c>
      <c r="L18" s="14" t="inlineStr">
        <is>
          <t>Automatizado</t>
        </is>
      </c>
      <c r="M18" s="15" t="inlineStr">
        <is>
          <t>Autenticar usuário com perfil cidadão.</t>
        </is>
      </c>
      <c r="N18" s="6" t="inlineStr">
        <is>
          <t>HU-02 Login</t>
        </is>
      </c>
      <c r="O18" s="15" t="inlineStr">
        <is>
          <t>tests/acceptance/01_auth.test.ts › CT-AUTH-04</t>
        </is>
      </c>
      <c r="P18" s="14" t="n"/>
      <c r="Q18" s="15" t="inlineStr"/>
      <c r="R18" s="13">
        <f>TRIM(IF(C18="","Tm ","")&amp;IF(AND(D18="",L18&lt;&gt;"Automatizado"),"Ti ","")&amp;IF(E18="","Ta ","")&amp;IF(F18="","Mn ","")&amp;IF(G18="","F ",""))</f>
        <v/>
      </c>
    </row>
    <row r="19">
      <c r="A19" s="6" t="inlineStr">
        <is>
          <t>TC14</t>
        </is>
      </c>
      <c r="B19" s="6" t="inlineStr">
        <is>
          <t>Integração de componentes</t>
        </is>
      </c>
      <c r="C19" s="7" t="n"/>
      <c r="D19" s="8" t="n"/>
      <c r="E19" s="9" t="n">
        <v>0.138</v>
      </c>
      <c r="F19" s="7" t="n"/>
      <c r="G19" s="10" t="n"/>
      <c r="H19" s="11">
        <f>IF(R19&lt;&gt;"","Falta preencher: "&amp;R19,IF(G19&lt;=0,"F precisa ser maior que 0",IF(L19="Automatizado",IF(I19&gt;0,"Sim (manter)","Não (aposentar e voltar ao manual)"),IF(I19&lt;=0,"Não",IF($D$3="","Sim, se faltarem pelo menos "&amp;FIXED(K19,1)&amp;" meses",IF(J19&lt;=G19*$D$3,"Sim","Não"))))))</f>
        <v/>
      </c>
      <c r="I19" s="12">
        <f>IF(R19&lt;&gt;"","",IF(G19&lt;=0,"",C19-E19/60-F19/G19))</f>
        <v/>
      </c>
      <c r="J19" s="13">
        <f>IF(OR(I19="",D19=""),"",IF(I19&lt;=0,"nunca",ROUNDUP(D19/I19,0)))</f>
        <v/>
      </c>
      <c r="K19" s="12">
        <f>IF(OR(J19="",J19="nunca"),"",J19/G19)</f>
        <v/>
      </c>
      <c r="L19" s="14" t="inlineStr">
        <is>
          <t>Automatizado</t>
        </is>
      </c>
      <c r="M19" s="15" t="inlineStr">
        <is>
          <t>Autenticar usuário com perfil gestor.</t>
        </is>
      </c>
      <c r="N19" s="6" t="inlineStr">
        <is>
          <t>HU-02 Login</t>
        </is>
      </c>
      <c r="O19" s="15" t="inlineStr">
        <is>
          <t>tests/acceptance/01_auth.test.ts › CT-AUTH-05</t>
        </is>
      </c>
      <c r="P19" s="14" t="n"/>
      <c r="Q19" s="15" t="inlineStr"/>
      <c r="R19" s="13">
        <f>TRIM(IF(C19="","Tm ","")&amp;IF(AND(D19="",L19&lt;&gt;"Automatizado"),"Ti ","")&amp;IF(E19="","Ta ","")&amp;IF(F19="","Mn ","")&amp;IF(G19="","F ",""))</f>
        <v/>
      </c>
    </row>
    <row r="20">
      <c r="A20" s="6" t="inlineStr">
        <is>
          <t>TC15</t>
        </is>
      </c>
      <c r="B20" s="6" t="inlineStr">
        <is>
          <t>Integração de componentes</t>
        </is>
      </c>
      <c r="C20" s="7" t="n"/>
      <c r="D20" s="8" t="n"/>
      <c r="E20" s="9" t="n">
        <v>0.153</v>
      </c>
      <c r="F20" s="7" t="n"/>
      <c r="G20" s="10" t="n"/>
      <c r="H20" s="11">
        <f>IF(R20&lt;&gt;"","Falta preencher: "&amp;R20,IF(G20&lt;=0,"F precisa ser maior que 0",IF(L20="Automatizado",IF(I20&gt;0,"Sim (manter)","Não (aposentar e voltar ao manual)"),IF(I20&lt;=0,"Não",IF($D$3="","Sim, se faltarem pelo menos "&amp;FIXED(K20,1)&amp;" meses",IF(J20&lt;=G20*$D$3,"Sim","Não"))))))</f>
        <v/>
      </c>
      <c r="I20" s="12">
        <f>IF(R20&lt;&gt;"","",IF(G20&lt;=0,"",C20-E20/60-F20/G20))</f>
        <v/>
      </c>
      <c r="J20" s="13">
        <f>IF(OR(I20="",D20=""),"",IF(I20&lt;=0,"nunca",ROUNDUP(D20/I20,0)))</f>
        <v/>
      </c>
      <c r="K20" s="12">
        <f>IF(OR(J20="",J20="nunca"),"",J20/G20)</f>
        <v/>
      </c>
      <c r="L20" s="14" t="inlineStr">
        <is>
          <t>Automatizado</t>
        </is>
      </c>
      <c r="M20" s="15" t="inlineStr">
        <is>
          <t>Recusar login com senha incorreta.</t>
        </is>
      </c>
      <c r="N20" s="6" t="inlineStr">
        <is>
          <t>HU-02 Login</t>
        </is>
      </c>
      <c r="O20" s="15" t="inlineStr">
        <is>
          <t>tests/acceptance/01_auth.test.ts › CT-AUTH-06</t>
        </is>
      </c>
      <c r="P20" s="14" t="n"/>
      <c r="Q20" s="15" t="inlineStr"/>
      <c r="R20" s="13">
        <f>TRIM(IF(C20="","Tm ","")&amp;IF(AND(D20="",L20&lt;&gt;"Automatizado"),"Ti ","")&amp;IF(E20="","Ta ","")&amp;IF(F20="","Mn ","")&amp;IF(G20="","F ",""))</f>
        <v/>
      </c>
    </row>
    <row r="21">
      <c r="A21" s="6" t="inlineStr">
        <is>
          <t>TC16</t>
        </is>
      </c>
      <c r="B21" s="6" t="inlineStr">
        <is>
          <t>Integração de componentes</t>
        </is>
      </c>
      <c r="C21" s="7" t="n"/>
      <c r="D21" s="8" t="n"/>
      <c r="E21" s="9" t="n">
        <v>0.012</v>
      </c>
      <c r="F21" s="7" t="n"/>
      <c r="G21" s="10" t="n"/>
      <c r="H21" s="11">
        <f>IF(R21&lt;&gt;"","Falta preencher: "&amp;R21,IF(G21&lt;=0,"F precisa ser maior que 0",IF(L21="Automatizado",IF(I21&gt;0,"Sim (manter)","Não (aposentar e voltar ao manual)"),IF(I21&lt;=0,"Não",IF($D$3="","Sim, se faltarem pelo menos "&amp;FIXED(K21,1)&amp;" meses",IF(J21&lt;=G21*$D$3,"Sim","Não"))))))</f>
        <v/>
      </c>
      <c r="I21" s="12">
        <f>IF(R21&lt;&gt;"","",IF(G21&lt;=0,"",C21-E21/60-F21/G21))</f>
        <v/>
      </c>
      <c r="J21" s="13">
        <f>IF(OR(I21="",D21=""),"",IF(I21&lt;=0,"nunca",ROUNDUP(D21/I21,0)))</f>
        <v/>
      </c>
      <c r="K21" s="12">
        <f>IF(OR(J21="",J21="nunca"),"",J21/G21)</f>
        <v/>
      </c>
      <c r="L21" s="14" t="inlineStr">
        <is>
          <t>Automatizado</t>
        </is>
      </c>
      <c r="M21" s="15" t="inlineStr">
        <is>
          <t>Recusar login com e-mail não cadastrado.</t>
        </is>
      </c>
      <c r="N21" s="6" t="inlineStr">
        <is>
          <t>HU-02 Login</t>
        </is>
      </c>
      <c r="O21" s="15" t="inlineStr">
        <is>
          <t>tests/acceptance/01_auth.test.ts › CT-AUTH-07</t>
        </is>
      </c>
      <c r="P21" s="14" t="n"/>
      <c r="Q21" s="15" t="inlineStr"/>
      <c r="R21" s="13">
        <f>TRIM(IF(C21="","Tm ","")&amp;IF(AND(D21="",L21&lt;&gt;"Automatizado"),"Ti ","")&amp;IF(E21="","Ta ","")&amp;IF(F21="","Mn ","")&amp;IF(G21="","F ",""))</f>
        <v/>
      </c>
    </row>
    <row r="22">
      <c r="A22" s="6" t="inlineStr">
        <is>
          <t>TC17</t>
        </is>
      </c>
      <c r="B22" s="6" t="inlineStr">
        <is>
          <t>Integração de componentes</t>
        </is>
      </c>
      <c r="C22" s="7" t="n"/>
      <c r="D22" s="10" t="n"/>
      <c r="E22" s="9" t="n">
        <v>0.024</v>
      </c>
      <c r="F22" s="7" t="n"/>
      <c r="G22" s="10" t="n"/>
      <c r="H22" s="11">
        <f>IF(R22&lt;&gt;"","Falta preencher: "&amp;R22,IF(G22&lt;=0,"F precisa ser maior que 0",IF(L22="Automatizado",IF(I22&gt;0,"Sim (manter)","Não (aposentar e voltar ao manual)"),IF(I22&lt;=0,"Não",IF($D$3="","Sim, se faltarem pelo menos "&amp;FIXED(K22,1)&amp;" meses",IF(J22&lt;=G22*$D$3,"Sim","Não"))))))</f>
        <v/>
      </c>
      <c r="I22" s="12">
        <f>IF(R22&lt;&gt;"","",IF(G22&lt;=0,"",C22-E22/60-F22/G22))</f>
        <v/>
      </c>
      <c r="J22" s="13">
        <f>IF(OR(I22="",D22=""),"",IF(I22&lt;=0,"nunca",ROUNDUP(D22/I22,0)))</f>
        <v/>
      </c>
      <c r="K22" s="12">
        <f>IF(OR(J22="",J22="nunca"),"",J22/G22)</f>
        <v/>
      </c>
      <c r="L22" s="14" t="inlineStr">
        <is>
          <t>Não automatizado</t>
        </is>
      </c>
      <c r="M22" s="15" t="inlineStr">
        <is>
          <t>Recusar login sem o campo email.</t>
        </is>
      </c>
      <c r="N22" s="6" t="inlineStr">
        <is>
          <t>HU-02 Login</t>
        </is>
      </c>
      <c r="O22" s="15" t="inlineStr"/>
      <c r="P22" s="14" t="n"/>
      <c r="Q22" s="15" t="inlineStr"/>
      <c r="R22" s="13">
        <f>TRIM(IF(C22="","Tm ","")&amp;IF(AND(D22="",L22&lt;&gt;"Automatizado"),"Ti ","")&amp;IF(E22="","Ta ","")&amp;IF(F22="","Mn ","")&amp;IF(G22="","F ",""))</f>
        <v/>
      </c>
    </row>
    <row r="23">
      <c r="A23" s="6" t="inlineStr">
        <is>
          <t>TC18</t>
        </is>
      </c>
      <c r="B23" s="6" t="inlineStr">
        <is>
          <t>Sistema</t>
        </is>
      </c>
      <c r="C23" s="7" t="n"/>
      <c r="D23" s="8" t="n"/>
      <c r="E23" s="9" t="n">
        <v>1.923</v>
      </c>
      <c r="F23" s="7" t="n"/>
      <c r="G23" s="10" t="n"/>
      <c r="H23" s="11">
        <f>IF(R23&lt;&gt;"","Falta preencher: "&amp;R23,IF(G23&lt;=0,"F precisa ser maior que 0",IF(L23="Automatizado",IF(I23&gt;0,"Sim (manter)","Não (aposentar e voltar ao manual)"),IF(I23&lt;=0,"Não",IF($D$3="","Sim, se faltarem pelo menos "&amp;FIXED(K23,1)&amp;" meses",IF(J23&lt;=G23*$D$3,"Sim","Não"))))))</f>
        <v/>
      </c>
      <c r="I23" s="12">
        <f>IF(R23&lt;&gt;"","",IF(G23&lt;=0,"",C23-E23/60-F23/G23))</f>
        <v/>
      </c>
      <c r="J23" s="13">
        <f>IF(OR(I23="",D23=""),"",IF(I23&lt;=0,"nunca",ROUNDUP(D23/I23,0)))</f>
        <v/>
      </c>
      <c r="K23" s="12">
        <f>IF(OR(J23="",J23="nunca"),"",J23/G23)</f>
        <v/>
      </c>
      <c r="L23" s="14" t="inlineStr">
        <is>
          <t>Automatizado</t>
        </is>
      </c>
      <c r="M23" s="15" t="inlineStr">
        <is>
          <t>Entrar pela tela de login com perfil cidadão.</t>
        </is>
      </c>
      <c r="N23" s="6" t="inlineStr">
        <is>
          <t>HU-02 Login</t>
        </is>
      </c>
      <c r="O23" s="15" t="inlineStr">
        <is>
          <t>e2e/tests/buscar-demandas.spec.ts (login do cidadão e /dashboard)</t>
        </is>
      </c>
      <c r="P23" s="14" t="n"/>
      <c r="Q23" s="15" t="inlineStr"/>
      <c r="R23" s="13">
        <f>TRIM(IF(C23="","Tm ","")&amp;IF(AND(D23="",L23&lt;&gt;"Automatizado"),"Ti ","")&amp;IF(E23="","Ta ","")&amp;IF(F23="","Mn ","")&amp;IF(G23="","F ",""))</f>
        <v/>
      </c>
    </row>
    <row r="24">
      <c r="A24" s="6" t="inlineStr">
        <is>
          <t>TC19</t>
        </is>
      </c>
      <c r="B24" s="6" t="inlineStr">
        <is>
          <t>Sistema</t>
        </is>
      </c>
      <c r="C24" s="7" t="n"/>
      <c r="D24" s="8" t="n"/>
      <c r="E24" s="9" t="n">
        <v>2.377</v>
      </c>
      <c r="F24" s="7" t="n"/>
      <c r="G24" s="10" t="n"/>
      <c r="H24" s="11">
        <f>IF(R24&lt;&gt;"","Falta preencher: "&amp;R24,IF(G24&lt;=0,"F precisa ser maior que 0",IF(L24="Automatizado",IF(I24&gt;0,"Sim (manter)","Não (aposentar e voltar ao manual)"),IF(I24&lt;=0,"Não",IF($D$3="","Sim, se faltarem pelo menos "&amp;FIXED(K24,1)&amp;" meses",IF(J24&lt;=G24*$D$3,"Sim","Não"))))))</f>
        <v/>
      </c>
      <c r="I24" s="12">
        <f>IF(R24&lt;&gt;"","",IF(G24&lt;=0,"",C24-E24/60-F24/G24))</f>
        <v/>
      </c>
      <c r="J24" s="13">
        <f>IF(OR(I24="",D24=""),"",IF(I24&lt;=0,"nunca",ROUNDUP(D24/I24,0)))</f>
        <v/>
      </c>
      <c r="K24" s="12">
        <f>IF(OR(J24="",J24="nunca"),"",J24/G24)</f>
        <v/>
      </c>
      <c r="L24" s="14" t="inlineStr">
        <is>
          <t>Automatizado</t>
        </is>
      </c>
      <c r="M24" s="15" t="inlineStr">
        <is>
          <t>Entrar pela tela de login com perfil gestor.</t>
        </is>
      </c>
      <c r="N24" s="6" t="inlineStr">
        <is>
          <t>HU-02 Login</t>
        </is>
      </c>
      <c r="O24" s="15" t="inlineStr">
        <is>
          <t>e2e/tests/gestor-aceita-triagem.spec.ts (login do gestor e 'Painel do gestor')</t>
        </is>
      </c>
      <c r="P24" s="14" t="n"/>
      <c r="Q24" s="15" t="inlineStr"/>
      <c r="R24" s="13">
        <f>TRIM(IF(C24="","Tm ","")&amp;IF(AND(D24="",L24&lt;&gt;"Automatizado"),"Ti ","")&amp;IF(E24="","Ta ","")&amp;IF(F24="","Mn ","")&amp;IF(G24="","F ",""))</f>
        <v/>
      </c>
    </row>
    <row r="25">
      <c r="A25" s="6" t="inlineStr">
        <is>
          <t>TC20</t>
        </is>
      </c>
      <c r="B25" s="6" t="inlineStr">
        <is>
          <t>Componente</t>
        </is>
      </c>
      <c r="C25" s="7" t="n"/>
      <c r="D25" s="10" t="n"/>
      <c r="E25" s="9" t="n">
        <v>0.013</v>
      </c>
      <c r="F25" s="7" t="n"/>
      <c r="G25" s="10" t="n"/>
      <c r="H25" s="11">
        <f>IF(R25&lt;&gt;"","Falta preencher: "&amp;R25,IF(G25&lt;=0,"F precisa ser maior que 0",IF(L25="Automatizado",IF(I25&gt;0,"Sim (manter)","Não (aposentar e voltar ao manual)"),IF(I25&lt;=0,"Não",IF($D$3="","Sim, se faltarem pelo menos "&amp;FIXED(K25,1)&amp;" meses",IF(J25&lt;=G25*$D$3,"Sim","Não"))))))</f>
        <v/>
      </c>
      <c r="I25" s="12">
        <f>IF(R25&lt;&gt;"","",IF(G25&lt;=0,"",C25-E25/60-F25/G25))</f>
        <v/>
      </c>
      <c r="J25" s="13">
        <f>IF(OR(I25="",D25=""),"",IF(I25&lt;=0,"nunca",ROUNDUP(D25/I25,0)))</f>
        <v/>
      </c>
      <c r="K25" s="12">
        <f>IF(OR(J25="",J25="nunca"),"",J25/G25)</f>
        <v/>
      </c>
      <c r="L25" s="14" t="inlineStr">
        <is>
          <t>Não automatizado</t>
        </is>
      </c>
      <c r="M25" s="15" t="inlineStr">
        <is>
          <t>Guardar na sessão o token retornado pelo login.</t>
        </is>
      </c>
      <c r="N25" s="6" t="inlineStr">
        <is>
          <t>HU-02 Login</t>
        </is>
      </c>
      <c r="O25" s="15" t="inlineStr"/>
      <c r="P25" s="14" t="n"/>
      <c r="Q25" s="15" t="inlineStr">
        <is>
          <t>authService.test confere o token devolvido pelo login, mas não lê o token da session depois.</t>
        </is>
      </c>
      <c r="R25" s="13">
        <f>TRIM(IF(C25="","Tm ","")&amp;IF(AND(D25="",L25&lt;&gt;"Automatizado"),"Ti ","")&amp;IF(E25="","Ta ","")&amp;IF(F25="","Mn ","")&amp;IF(G25="","F ",""))</f>
        <v/>
      </c>
    </row>
    <row r="26">
      <c r="A26" s="6" t="inlineStr">
        <is>
          <t>TC21</t>
        </is>
      </c>
      <c r="B26" s="6" t="inlineStr">
        <is>
          <t>Componente</t>
        </is>
      </c>
      <c r="C26" s="7" t="n"/>
      <c r="D26" s="8" t="n"/>
      <c r="E26" s="9" t="n">
        <v>0.005</v>
      </c>
      <c r="F26" s="7" t="n"/>
      <c r="G26" s="10" t="n"/>
      <c r="H26" s="11">
        <f>IF(R26&lt;&gt;"","Falta preencher: "&amp;R26,IF(G26&lt;=0,"F precisa ser maior que 0",IF(L26="Automatizado",IF(I26&gt;0,"Sim (manter)","Não (aposentar e voltar ao manual)"),IF(I26&lt;=0,"Não",IF($D$3="","Sim, se faltarem pelo menos "&amp;FIXED(K26,1)&amp;" meses",IF(J26&lt;=G26*$D$3,"Sim","Não"))))))</f>
        <v/>
      </c>
      <c r="I26" s="12">
        <f>IF(R26&lt;&gt;"","",IF(G26&lt;=0,"",C26-E26/60-F26/G26))</f>
        <v/>
      </c>
      <c r="J26" s="13">
        <f>IF(OR(I26="",D26=""),"",IF(I26&lt;=0,"nunca",ROUNDUP(D26/I26,0)))</f>
        <v/>
      </c>
      <c r="K26" s="12">
        <f>IF(OR(J26="",J26="nunca"),"",J26/G26)</f>
        <v/>
      </c>
      <c r="L26" s="14" t="inlineStr">
        <is>
          <t>Automatizado</t>
        </is>
      </c>
      <c r="M26" s="15" t="inlineStr">
        <is>
          <t>Enviar o token da sessão no cabeçalho Authorization das requisições.</t>
        </is>
      </c>
      <c r="N26" s="6" t="inlineStr">
        <is>
          <t>HU-02 Login</t>
        </is>
      </c>
      <c r="O26" s="15" t="inlineStr">
        <is>
          <t>tests/unit/services/api.test.ts › envia Authorization assim que o token entra em memória</t>
        </is>
      </c>
      <c r="P26" s="14" t="n"/>
      <c r="Q26" s="15" t="inlineStr"/>
      <c r="R26" s="13">
        <f>TRIM(IF(C26="","Tm ","")&amp;IF(AND(D26="",L26&lt;&gt;"Automatizado"),"Ti ","")&amp;IF(E26="","Ta ","")&amp;IF(F26="","Mn ","")&amp;IF(G26="","F ",""))</f>
        <v/>
      </c>
    </row>
    <row r="27">
      <c r="A27" s="6" t="inlineStr">
        <is>
          <t>TC22</t>
        </is>
      </c>
      <c r="B27" s="6" t="inlineStr">
        <is>
          <t>Integração de componentes</t>
        </is>
      </c>
      <c r="C27" s="7" t="n"/>
      <c r="D27" s="8" t="n"/>
      <c r="E27" s="9" t="n">
        <v>0.017</v>
      </c>
      <c r="F27" s="7" t="n"/>
      <c r="G27" s="10" t="n"/>
      <c r="H27" s="11">
        <f>IF(R27&lt;&gt;"","Falta preencher: "&amp;R27,IF(G27&lt;=0,"F precisa ser maior que 0",IF(L27="Automatizado",IF(I27&gt;0,"Sim (manter)","Não (aposentar e voltar ao manual)"),IF(I27&lt;=0,"Não",IF($D$3="","Sim, se faltarem pelo menos "&amp;FIXED(K27,1)&amp;" meses",IF(J27&lt;=G27*$D$3,"Sim","Não"))))))</f>
        <v/>
      </c>
      <c r="I27" s="12">
        <f>IF(R27&lt;&gt;"","",IF(G27&lt;=0,"",C27-E27/60-F27/G27))</f>
        <v/>
      </c>
      <c r="J27" s="13">
        <f>IF(OR(I27="",D27=""),"",IF(I27&lt;=0,"nunca",ROUNDUP(D27/I27,0)))</f>
        <v/>
      </c>
      <c r="K27" s="12">
        <f>IF(OR(J27="",J27="nunca"),"",J27/G27)</f>
        <v/>
      </c>
      <c r="L27" s="14" t="inlineStr">
        <is>
          <t>Automatizado</t>
        </is>
      </c>
      <c r="M27" s="15" t="inlineStr">
        <is>
          <t>Recusar acesso a rota protegida sem credencial.</t>
        </is>
      </c>
      <c r="N27" s="6" t="inlineStr">
        <is>
          <t>HU-02 Login</t>
        </is>
      </c>
      <c r="O27" s="15" t="inlineStr">
        <is>
          <t>tests/acceptance/01_auth.test.ts › CT-AUTH-09</t>
        </is>
      </c>
      <c r="P27" s="14" t="n"/>
      <c r="Q27" s="15" t="inlineStr"/>
      <c r="R27" s="13">
        <f>TRIM(IF(C27="","Tm ","")&amp;IF(AND(D27="",L27&lt;&gt;"Automatizado"),"Ti ","")&amp;IF(E27="","Ta ","")&amp;IF(F27="","Mn ","")&amp;IF(G27="","F ",""))</f>
        <v/>
      </c>
    </row>
    <row r="28">
      <c r="A28" s="6" t="inlineStr">
        <is>
          <t>TC23</t>
        </is>
      </c>
      <c r="B28" s="6" t="inlineStr">
        <is>
          <t>Integração de componentes</t>
        </is>
      </c>
      <c r="C28" s="7" t="n"/>
      <c r="D28" s="8" t="n"/>
      <c r="E28" s="9" t="n">
        <v>0.02</v>
      </c>
      <c r="F28" s="7" t="n"/>
      <c r="G28" s="10" t="n"/>
      <c r="H28" s="11">
        <f>IF(R28&lt;&gt;"","Falta preencher: "&amp;R28,IF(G28&lt;=0,"F precisa ser maior que 0",IF(L28="Automatizado",IF(I28&gt;0,"Sim (manter)","Não (aposentar e voltar ao manual)"),IF(I28&lt;=0,"Não",IF($D$3="","Sim, se faltarem pelo menos "&amp;FIXED(K28,1)&amp;" meses",IF(J28&lt;=G28*$D$3,"Sim","Não"))))))</f>
        <v/>
      </c>
      <c r="I28" s="12">
        <f>IF(R28&lt;&gt;"","",IF(G28&lt;=0,"",C28-E28/60-F28/G28))</f>
        <v/>
      </c>
      <c r="J28" s="13">
        <f>IF(OR(I28="",D28=""),"",IF(I28&lt;=0,"nunca",ROUNDUP(D28/I28,0)))</f>
        <v/>
      </c>
      <c r="K28" s="12">
        <f>IF(OR(J28="",J28="nunca"),"",J28/G28)</f>
        <v/>
      </c>
      <c r="L28" s="14" t="inlineStr">
        <is>
          <t>Automatizado</t>
        </is>
      </c>
      <c r="M28" s="15" t="inlineStr">
        <is>
          <t>Recusar acesso com token adulterado.</t>
        </is>
      </c>
      <c r="N28" s="6" t="inlineStr">
        <is>
          <t>HU-02 Login</t>
        </is>
      </c>
      <c r="O28" s="15" t="inlineStr">
        <is>
          <t>tests/acceptance/01_auth.test.ts › CT-AUTH-10</t>
        </is>
      </c>
      <c r="P28" s="14" t="n"/>
      <c r="Q28" s="15" t="inlineStr"/>
      <c r="R28" s="13">
        <f>TRIM(IF(C28="","Tm ","")&amp;IF(AND(D28="",L28&lt;&gt;"Automatizado"),"Ti ","")&amp;IF(E28="","Ta ","")&amp;IF(F28="","Mn ","")&amp;IF(G28="","F ",""))</f>
        <v/>
      </c>
    </row>
    <row r="29">
      <c r="A29" s="6" t="inlineStr">
        <is>
          <t>TC24</t>
        </is>
      </c>
      <c r="B29" s="6" t="inlineStr">
        <is>
          <t>Integração de componentes</t>
        </is>
      </c>
      <c r="C29" s="7" t="n"/>
      <c r="D29" s="10" t="n"/>
      <c r="E29" s="9" t="n">
        <v>0.024</v>
      </c>
      <c r="F29" s="7" t="n"/>
      <c r="G29" s="10" t="n"/>
      <c r="H29" s="11">
        <f>IF(R29&lt;&gt;"","Falta preencher: "&amp;R29,IF(G29&lt;=0,"F precisa ser maior que 0",IF(L29="Automatizado",IF(I29&gt;0,"Sim (manter)","Não (aposentar e voltar ao manual)"),IF(I29&lt;=0,"Não",IF($D$3="","Sim, se faltarem pelo menos "&amp;FIXED(K29,1)&amp;" meses",IF(J29&lt;=G29*$D$3,"Sim","Não"))))))</f>
        <v/>
      </c>
      <c r="I29" s="12">
        <f>IF(R29&lt;&gt;"","",IF(G29&lt;=0,"",C29-E29/60-F29/G29))</f>
        <v/>
      </c>
      <c r="J29" s="13">
        <f>IF(OR(I29="",D29=""),"",IF(I29&lt;=0,"nunca",ROUNDUP(D29/I29,0)))</f>
        <v/>
      </c>
      <c r="K29" s="12">
        <f>IF(OR(J29="",J29="nunca"),"",J29/G29)</f>
        <v/>
      </c>
      <c r="L29" s="14" t="inlineStr">
        <is>
          <t>Não automatizado</t>
        </is>
      </c>
      <c r="M29" s="15" t="inlineStr">
        <is>
          <t>Recusar acesso com token expirado.</t>
        </is>
      </c>
      <c r="N29" s="6" t="inlineStr">
        <is>
          <t>HU-02 Login</t>
        </is>
      </c>
      <c r="O29" s="15" t="inlineStr"/>
      <c r="P29" s="14" t="n"/>
      <c r="Q29" s="15" t="inlineStr">
        <is>
          <t>CT-AUTH-10 usa token forjado, não token expirado.</t>
        </is>
      </c>
      <c r="R29" s="13">
        <f>TRIM(IF(C29="","Tm ","")&amp;IF(AND(D29="",L29&lt;&gt;"Automatizado"),"Ti ","")&amp;IF(E29="","Ta ","")&amp;IF(F29="","Mn ","")&amp;IF(G29="","F ",""))</f>
        <v/>
      </c>
    </row>
    <row r="30">
      <c r="A30" s="6" t="inlineStr">
        <is>
          <t>TC25</t>
        </is>
      </c>
      <c r="B30" s="6" t="inlineStr">
        <is>
          <t>Integração de componentes</t>
        </is>
      </c>
      <c r="C30" s="7" t="n"/>
      <c r="D30" s="10" t="n"/>
      <c r="E30" s="9" t="n">
        <v>0.024</v>
      </c>
      <c r="F30" s="7" t="n"/>
      <c r="G30" s="10" t="n"/>
      <c r="H30" s="11">
        <f>IF(R30&lt;&gt;"","Falta preencher: "&amp;R30,IF(G30&lt;=0,"F precisa ser maior que 0",IF(L30="Automatizado",IF(I30&gt;0,"Sim (manter)","Não (aposentar e voltar ao manual)"),IF(I30&lt;=0,"Não",IF($D$3="","Sim, se faltarem pelo menos "&amp;FIXED(K30,1)&amp;" meses",IF(J30&lt;=G30*$D$3,"Sim","Não"))))))</f>
        <v/>
      </c>
      <c r="I30" s="12">
        <f>IF(R30&lt;&gt;"","",IF(G30&lt;=0,"",C30-E30/60-F30/G30))</f>
        <v/>
      </c>
      <c r="J30" s="13">
        <f>IF(OR(I30="",D30=""),"",IF(I30&lt;=0,"nunca",ROUNDUP(D30/I30,0)))</f>
        <v/>
      </c>
      <c r="K30" s="12">
        <f>IF(OR(J30="",J30="nunca"),"",J30/G30)</f>
        <v/>
      </c>
      <c r="L30" s="14" t="inlineStr">
        <is>
          <t>Não automatizado</t>
        </is>
      </c>
      <c r="M30" s="15" t="inlineStr">
        <is>
          <t>Autenticar requisição usando só o cookie de sessão.</t>
        </is>
      </c>
      <c r="N30" s="6" t="inlineStr">
        <is>
          <t>HU-02 Login</t>
        </is>
      </c>
      <c r="O30" s="15" t="inlineStr"/>
      <c r="P30" s="14" t="n"/>
      <c r="Q30" s="15" t="inlineStr"/>
      <c r="R30" s="13">
        <f>TRIM(IF(C30="","Tm ","")&amp;IF(AND(D30="",L30&lt;&gt;"Automatizado"),"Ti ","")&amp;IF(E30="","Ta ","")&amp;IF(F30="","Mn ","")&amp;IF(G30="","F ",""))</f>
        <v/>
      </c>
    </row>
    <row r="31">
      <c r="A31" s="6" t="inlineStr">
        <is>
          <t>TC26</t>
        </is>
      </c>
      <c r="B31" s="6" t="inlineStr">
        <is>
          <t>Integração de componentes</t>
        </is>
      </c>
      <c r="C31" s="7" t="n"/>
      <c r="D31" s="8" t="n"/>
      <c r="E31" s="9" t="n">
        <v>0.008999999999999999</v>
      </c>
      <c r="F31" s="7" t="n"/>
      <c r="G31" s="10" t="n"/>
      <c r="H31" s="11">
        <f>IF(R31&lt;&gt;"","Falta preencher: "&amp;R31,IF(G31&lt;=0,"F precisa ser maior que 0",IF(L31="Automatizado",IF(I31&gt;0,"Sim (manter)","Não (aposentar e voltar ao manual)"),IF(I31&lt;=0,"Não",IF($D$3="","Sim, se faltarem pelo menos "&amp;FIXED(K31,1)&amp;" meses",IF(J31&lt;=G31*$D$3,"Sim","Não"))))))</f>
        <v/>
      </c>
      <c r="I31" s="12">
        <f>IF(R31&lt;&gt;"","",IF(G31&lt;=0,"",C31-E31/60-F31/G31))</f>
        <v/>
      </c>
      <c r="J31" s="13">
        <f>IF(OR(I31="",D31=""),"",IF(I31&lt;=0,"nunca",ROUNDUP(D31/I31,0)))</f>
        <v/>
      </c>
      <c r="K31" s="12">
        <f>IF(OR(J31="",J31="nunca"),"",J31/G31)</f>
        <v/>
      </c>
      <c r="L31" s="14" t="inlineStr">
        <is>
          <t>Automatizado</t>
        </is>
      </c>
      <c r="M31" s="15" t="inlineStr">
        <is>
          <t>Remover o cookie de sessão no logout.</t>
        </is>
      </c>
      <c r="N31" s="6" t="inlineStr">
        <is>
          <t>HU-02 Login</t>
        </is>
      </c>
      <c r="O31" s="15" t="inlineStr">
        <is>
          <t>tests/acceptance/01_auth.test.ts › CT-AUTH-11</t>
        </is>
      </c>
      <c r="P31" s="14" t="n"/>
      <c r="Q31" s="15" t="inlineStr"/>
      <c r="R31" s="13">
        <f>TRIM(IF(C31="","Tm ","")&amp;IF(AND(D31="",L31&lt;&gt;"Automatizado"),"Ti ","")&amp;IF(E31="","Ta ","")&amp;IF(F31="","Mn ","")&amp;IF(G31="","F ",""))</f>
        <v/>
      </c>
    </row>
    <row r="32">
      <c r="A32" s="6" t="inlineStr">
        <is>
          <t>TC27</t>
        </is>
      </c>
      <c r="B32" s="6" t="inlineStr">
        <is>
          <t>Integração de componentes</t>
        </is>
      </c>
      <c r="C32" s="7" t="n"/>
      <c r="D32" s="8" t="n"/>
      <c r="E32" s="9" t="n">
        <v>0.011</v>
      </c>
      <c r="F32" s="7" t="n"/>
      <c r="G32" s="10" t="n"/>
      <c r="H32" s="11">
        <f>IF(R32&lt;&gt;"","Falta preencher: "&amp;R32,IF(G32&lt;=0,"F precisa ser maior que 0",IF(L32="Automatizado",IF(I32&gt;0,"Sim (manter)","Não (aposentar e voltar ao manual)"),IF(I32&lt;=0,"Não",IF($D$3="","Sim, se faltarem pelo menos "&amp;FIXED(K32,1)&amp;" meses",IF(J32&lt;=G32*$D$3,"Sim","Não"))))))</f>
        <v/>
      </c>
      <c r="I32" s="12">
        <f>IF(R32&lt;&gt;"","",IF(G32&lt;=0,"",C32-E32/60-F32/G32))</f>
        <v/>
      </c>
      <c r="J32" s="13">
        <f>IF(OR(I32="",D32=""),"",IF(I32&lt;=0,"nunca",ROUNDUP(D32/I32,0)))</f>
        <v/>
      </c>
      <c r="K32" s="12">
        <f>IF(OR(J32="",J32="nunca"),"",J32/G32)</f>
        <v/>
      </c>
      <c r="L32" s="14" t="inlineStr">
        <is>
          <t>Automatizado</t>
        </is>
      </c>
      <c r="M32" s="15" t="inlineStr">
        <is>
          <t>Retornar erro padronizado para rota inexistente.</t>
        </is>
      </c>
      <c r="N32" s="6" t="inlineStr">
        <is>
          <t>SUPOSIÇÃO (nenhuma HU. Regra do contrato de API)</t>
        </is>
      </c>
      <c r="O32" s="15" t="inlineStr">
        <is>
          <t>tests/acceptance/04_general.test.ts › CT-GEN-03</t>
        </is>
      </c>
      <c r="P32" s="14" t="n"/>
      <c r="Q32" s="15" t="inlineStr"/>
      <c r="R32" s="13">
        <f>TRIM(IF(C32="","Tm ","")&amp;IF(AND(D32="",L32&lt;&gt;"Automatizado"),"Ti ","")&amp;IF(E32="","Ta ","")&amp;IF(F32="","Mn ","")&amp;IF(G32="","F ",""))</f>
        <v/>
      </c>
    </row>
    <row r="33">
      <c r="A33" s="6" t="inlineStr">
        <is>
          <t>TC28</t>
        </is>
      </c>
      <c r="B33" s="6" t="inlineStr">
        <is>
          <t>Integração de componentes</t>
        </is>
      </c>
      <c r="C33" s="7" t="n"/>
      <c r="D33" s="8" t="n"/>
      <c r="E33" s="9" t="n">
        <v>0.187</v>
      </c>
      <c r="F33" s="7" t="n"/>
      <c r="G33" s="10" t="n"/>
      <c r="H33" s="11">
        <f>IF(R33&lt;&gt;"","Falta preencher: "&amp;R33,IF(G33&lt;=0,"F precisa ser maior que 0",IF(L33="Automatizado",IF(I33&gt;0,"Sim (manter)","Não (aposentar e voltar ao manual)"),IF(I33&lt;=0,"Não",IF($D$3="","Sim, se faltarem pelo menos "&amp;FIXED(K33,1)&amp;" meses",IF(J33&lt;=G33*$D$3,"Sim","Não"))))))</f>
        <v/>
      </c>
      <c r="I33" s="12">
        <f>IF(R33&lt;&gt;"","",IF(G33&lt;=0,"",C33-E33/60-F33/G33))</f>
        <v/>
      </c>
      <c r="J33" s="13">
        <f>IF(OR(I33="",D33=""),"",IF(I33&lt;=0,"nunca",ROUNDUP(D33/I33,0)))</f>
        <v/>
      </c>
      <c r="K33" s="12">
        <f>IF(OR(J33="",J33="nunca"),"",J33/G33)</f>
        <v/>
      </c>
      <c r="L33" s="14" t="inlineStr">
        <is>
          <t>Automatizado</t>
        </is>
      </c>
      <c r="M33" s="15" t="inlineStr">
        <is>
          <t>Gerar protocolo ao criar demanda válida.</t>
        </is>
      </c>
      <c r="N33" s="6" t="inlineStr">
        <is>
          <t>HU-03 Registro de demanda</t>
        </is>
      </c>
      <c r="O33" s="15" t="inlineStr">
        <is>
          <t>tests/acceptance/02_demands.test.ts › CT-DEM-01</t>
        </is>
      </c>
      <c r="P33" s="14" t="n"/>
      <c r="Q33" s="15" t="inlineStr"/>
      <c r="R33" s="13">
        <f>TRIM(IF(C33="","Tm ","")&amp;IF(AND(D33="",L33&lt;&gt;"Automatizado"),"Ti ","")&amp;IF(E33="","Ta ","")&amp;IF(F33="","Mn ","")&amp;IF(G33="","F ",""))</f>
        <v/>
      </c>
    </row>
    <row r="34">
      <c r="A34" s="6" t="inlineStr">
        <is>
          <t>TC29</t>
        </is>
      </c>
      <c r="B34" s="6" t="inlineStr">
        <is>
          <t>Integração de componentes</t>
        </is>
      </c>
      <c r="C34" s="7" t="n"/>
      <c r="D34" s="10" t="n"/>
      <c r="E34" s="9" t="n">
        <v>0.024</v>
      </c>
      <c r="F34" s="7" t="n"/>
      <c r="G34" s="10" t="n"/>
      <c r="H34" s="11">
        <f>IF(R34&lt;&gt;"","Falta preencher: "&amp;R34,IF(G34&lt;=0,"F precisa ser maior que 0",IF(L34="Automatizado",IF(I34&gt;0,"Sim (manter)","Não (aposentar e voltar ao manual)"),IF(I34&lt;=0,"Não",IF($D$3="","Sim, se faltarem pelo menos "&amp;FIXED(K34,1)&amp;" meses",IF(J34&lt;=G34*$D$3,"Sim","Não"))))))</f>
        <v/>
      </c>
      <c r="I34" s="12">
        <f>IF(R34&lt;&gt;"","",IF(G34&lt;=0,"",C34-E34/60-F34/G34))</f>
        <v/>
      </c>
      <c r="J34" s="13">
        <f>IF(OR(I34="",D34=""),"",IF(I34&lt;=0,"nunca",ROUNDUP(D34/I34,0)))</f>
        <v/>
      </c>
      <c r="K34" s="12">
        <f>IF(OR(J34="",J34="nunca"),"",J34/G34)</f>
        <v/>
      </c>
      <c r="L34" s="14" t="inlineStr">
        <is>
          <t>Não automatizado</t>
        </is>
      </c>
      <c r="M34" s="15" t="inlineStr">
        <is>
          <t>Criar a demanda com status inicial registrada.</t>
        </is>
      </c>
      <c r="N34" s="6" t="inlineStr">
        <is>
          <t>HU-03 Registro de demanda</t>
        </is>
      </c>
      <c r="O34" s="15" t="inlineStr"/>
      <c r="P34" s="14" t="n"/>
      <c r="Q34" s="15" t="inlineStr">
        <is>
          <t>CONFLITO: TC29 espera status 'registrada', mas a API cria em 'em_analise' e CT-DEM-01 valida 'em_analise'. Resolver a lacuna L05 antes de automatizar.</t>
        </is>
      </c>
      <c r="R34" s="13">
        <f>TRIM(IF(C34="","Tm ","")&amp;IF(AND(D34="",L34&lt;&gt;"Automatizado"),"Ti ","")&amp;IF(E34="","Ta ","")&amp;IF(F34="","Mn ","")&amp;IF(G34="","F ",""))</f>
        <v/>
      </c>
    </row>
    <row r="35">
      <c r="A35" s="6" t="inlineStr">
        <is>
          <t>TC30</t>
        </is>
      </c>
      <c r="B35" s="6" t="inlineStr">
        <is>
          <t>Integração de componentes</t>
        </is>
      </c>
      <c r="C35" s="7" t="n"/>
      <c r="D35" s="10" t="n"/>
      <c r="E35" s="9" t="n">
        <v>0.024</v>
      </c>
      <c r="F35" s="7" t="n"/>
      <c r="G35" s="10" t="n"/>
      <c r="H35" s="11">
        <f>IF(R35&lt;&gt;"","Falta preencher: "&amp;R35,IF(G35&lt;=0,"F precisa ser maior que 0",IF(L35="Automatizado",IF(I35&gt;0,"Sim (manter)","Não (aposentar e voltar ao manual)"),IF(I35&lt;=0,"Não",IF($D$3="","Sim, se faltarem pelo menos "&amp;FIXED(K35,1)&amp;" meses",IF(J35&lt;=G35*$D$3,"Sim","Não"))))))</f>
        <v/>
      </c>
      <c r="I35" s="12">
        <f>IF(R35&lt;&gt;"","",IF(G35&lt;=0,"",C35-E35/60-F35/G35))</f>
        <v/>
      </c>
      <c r="J35" s="13">
        <f>IF(OR(I35="",D35=""),"",IF(I35&lt;=0,"nunca",ROUNDUP(D35/I35,0)))</f>
        <v/>
      </c>
      <c r="K35" s="12">
        <f>IF(OR(J35="",J35="nunca"),"",J35/G35)</f>
        <v/>
      </c>
      <c r="L35" s="14" t="inlineStr">
        <is>
          <t>Não automatizado</t>
        </is>
      </c>
      <c r="M35" s="15" t="inlineStr">
        <is>
          <t>Aplicar prioridade padrão media quando prioridade é omitida.</t>
        </is>
      </c>
      <c r="N35" s="6" t="inlineStr">
        <is>
          <t>HU-03 Registro de demanda</t>
        </is>
      </c>
      <c r="O35" s="15" t="inlineStr"/>
      <c r="P35" s="14" t="n"/>
      <c r="Q35" s="15" t="inlineStr"/>
      <c r="R35" s="13">
        <f>TRIM(IF(C35="","Tm ","")&amp;IF(AND(D35="",L35&lt;&gt;"Automatizado"),"Ti ","")&amp;IF(E35="","Ta ","")&amp;IF(F35="","Mn ","")&amp;IF(G35="","F ",""))</f>
        <v/>
      </c>
    </row>
    <row r="36">
      <c r="A36" s="6" t="inlineStr">
        <is>
          <t>TC31</t>
        </is>
      </c>
      <c r="B36" s="6" t="inlineStr">
        <is>
          <t>Integração de componentes</t>
        </is>
      </c>
      <c r="C36" s="7" t="n"/>
      <c r="D36" s="10" t="n"/>
      <c r="E36" s="9" t="n">
        <v>0.024</v>
      </c>
      <c r="F36" s="7" t="n"/>
      <c r="G36" s="10" t="n"/>
      <c r="H36" s="11">
        <f>IF(R36&lt;&gt;"","Falta preencher: "&amp;R36,IF(G36&lt;=0,"F precisa ser maior que 0",IF(L36="Automatizado",IF(I36&gt;0,"Sim (manter)","Não (aposentar e voltar ao manual)"),IF(I36&lt;=0,"Não",IF($D$3="","Sim, se faltarem pelo menos "&amp;FIXED(K36,1)&amp;" meses",IF(J36&lt;=G36*$D$3,"Sim","Não"))))))</f>
        <v/>
      </c>
      <c r="I36" s="12">
        <f>IF(R36&lt;&gt;"","",IF(G36&lt;=0,"",C36-E36/60-F36/G36))</f>
        <v/>
      </c>
      <c r="J36" s="13">
        <f>IF(OR(I36="",D36=""),"",IF(I36&lt;=0,"nunca",ROUNDUP(D36/I36,0)))</f>
        <v/>
      </c>
      <c r="K36" s="12">
        <f>IF(OR(J36="",J36="nunca"),"",J36/G36)</f>
        <v/>
      </c>
      <c r="L36" s="14" t="inlineStr">
        <is>
          <t>Não automatizado</t>
        </is>
      </c>
      <c r="M36" s="15" t="inlineStr">
        <is>
          <t>Aplicar bairro e cidade padrão quando omitidos.</t>
        </is>
      </c>
      <c r="N36" s="6" t="inlineStr">
        <is>
          <t>HU-03 Registro de demanda</t>
        </is>
      </c>
      <c r="O36" s="15" t="inlineStr"/>
      <c r="P36" s="14" t="n"/>
      <c r="Q36" s="15" t="inlineStr"/>
      <c r="R36" s="13">
        <f>TRIM(IF(C36="","Tm ","")&amp;IF(AND(D36="",L36&lt;&gt;"Automatizado"),"Ti ","")&amp;IF(E36="","Ta ","")&amp;IF(F36="","Mn ","")&amp;IF(G36="","F ",""))</f>
        <v/>
      </c>
    </row>
    <row r="37">
      <c r="A37" s="6" t="inlineStr">
        <is>
          <t>TC32</t>
        </is>
      </c>
      <c r="B37" s="6" t="inlineStr">
        <is>
          <t>Integração de componentes</t>
        </is>
      </c>
      <c r="C37" s="7" t="n"/>
      <c r="D37" s="10" t="n"/>
      <c r="E37" s="9" t="n">
        <v>0.024</v>
      </c>
      <c r="F37" s="7" t="n"/>
      <c r="G37" s="10" t="n"/>
      <c r="H37" s="11">
        <f>IF(R37&lt;&gt;"","Falta preencher: "&amp;R37,IF(G37&lt;=0,"F precisa ser maior que 0",IF(L37="Automatizado",IF(I37&gt;0,"Sim (manter)","Não (aposentar e voltar ao manual)"),IF(I37&lt;=0,"Não",IF($D$3="","Sim, se faltarem pelo menos "&amp;FIXED(K37,1)&amp;" meses",IF(J37&lt;=G37*$D$3,"Sim","Não"))))))</f>
        <v/>
      </c>
      <c r="I37" s="12">
        <f>IF(R37&lt;&gt;"","",IF(G37&lt;=0,"",C37-E37/60-F37/G37))</f>
        <v/>
      </c>
      <c r="J37" s="13">
        <f>IF(OR(I37="",D37=""),"",IF(I37&lt;=0,"nunca",ROUNDUP(D37/I37,0)))</f>
        <v/>
      </c>
      <c r="K37" s="12">
        <f>IF(OR(J37="",J37="nunca"),"",J37/G37)</f>
        <v/>
      </c>
      <c r="L37" s="14" t="inlineStr">
        <is>
          <t>Não automatizado</t>
        </is>
      </c>
      <c r="M37" s="15" t="inlineStr">
        <is>
          <t>Preencher o solicitante com os dados do usuário autenticado.</t>
        </is>
      </c>
      <c r="N37" s="6" t="inlineStr">
        <is>
          <t>HU-03 Registro de demanda</t>
        </is>
      </c>
      <c r="O37" s="15" t="inlineStr"/>
      <c r="P37" s="14" t="n"/>
      <c r="Q37" s="15" t="inlineStr"/>
      <c r="R37" s="13">
        <f>TRIM(IF(C37="","Tm ","")&amp;IF(AND(D37="",L37&lt;&gt;"Automatizado"),"Ti ","")&amp;IF(E37="","Ta ","")&amp;IF(F37="","Mn ","")&amp;IF(G37="","F ",""))</f>
        <v/>
      </c>
    </row>
    <row r="38">
      <c r="A38" s="6" t="inlineStr">
        <is>
          <t>TC33</t>
        </is>
      </c>
      <c r="B38" s="6" t="inlineStr">
        <is>
          <t>Integração de componentes</t>
        </is>
      </c>
      <c r="C38" s="7" t="n"/>
      <c r="D38" s="8" t="n"/>
      <c r="E38" s="9" t="n">
        <v>0.025</v>
      </c>
      <c r="F38" s="7" t="n"/>
      <c r="G38" s="10" t="n"/>
      <c r="H38" s="11">
        <f>IF(R38&lt;&gt;"","Falta preencher: "&amp;R38,IF(G38&lt;=0,"F precisa ser maior que 0",IF(L38="Automatizado",IF(I38&gt;0,"Sim (manter)","Não (aposentar e voltar ao manual)"),IF(I38&lt;=0,"Não",IF($D$3="","Sim, se faltarem pelo menos "&amp;FIXED(K38,1)&amp;" meses",IF(J38&lt;=G38*$D$3,"Sim","Não"))))))</f>
        <v/>
      </c>
      <c r="I38" s="12">
        <f>IF(R38&lt;&gt;"","",IF(G38&lt;=0,"",C38-E38/60-F38/G38))</f>
        <v/>
      </c>
      <c r="J38" s="13">
        <f>IF(OR(I38="",D38=""),"",IF(I38&lt;=0,"nunca",ROUNDUP(D38/I38,0)))</f>
        <v/>
      </c>
      <c r="K38" s="12">
        <f>IF(OR(J38="",J38="nunca"),"",J38/G38)</f>
        <v/>
      </c>
      <c r="L38" s="14" t="inlineStr">
        <is>
          <t>Automatizado</t>
        </is>
      </c>
      <c r="M38" s="15" t="inlineStr">
        <is>
          <t>Recusar demanda com titulo de 2 caracteres.</t>
        </is>
      </c>
      <c r="N38" s="6" t="inlineStr">
        <is>
          <t>HU-03 Registro de demanda</t>
        </is>
      </c>
      <c r="O38" s="15" t="inlineStr">
        <is>
          <t>tests/acceptance/02_demands.test.ts › CT-DEM-03</t>
        </is>
      </c>
      <c r="P38" s="14" t="n"/>
      <c r="Q38" s="15" t="inlineStr"/>
      <c r="R38" s="13">
        <f>TRIM(IF(C38="","Tm ","")&amp;IF(AND(D38="",L38&lt;&gt;"Automatizado"),"Ti ","")&amp;IF(E38="","Ta ","")&amp;IF(F38="","Mn ","")&amp;IF(G38="","F ",""))</f>
        <v/>
      </c>
    </row>
    <row r="39">
      <c r="A39" s="6" t="inlineStr">
        <is>
          <t>TC34</t>
        </is>
      </c>
      <c r="B39" s="6" t="inlineStr">
        <is>
          <t>Integração de componentes</t>
        </is>
      </c>
      <c r="C39" s="7" t="n"/>
      <c r="D39" s="10" t="n"/>
      <c r="E39" s="9" t="n">
        <v>0.024</v>
      </c>
      <c r="F39" s="7" t="n"/>
      <c r="G39" s="10" t="n"/>
      <c r="H39" s="11">
        <f>IF(R39&lt;&gt;"","Falta preencher: "&amp;R39,IF(G39&lt;=0,"F precisa ser maior que 0",IF(L39="Automatizado",IF(I39&gt;0,"Sim (manter)","Não (aposentar e voltar ao manual)"),IF(I39&lt;=0,"Não",IF($D$3="","Sim, se faltarem pelo menos "&amp;FIXED(K39,1)&amp;" meses",IF(J39&lt;=G39*$D$3,"Sim","Não"))))))</f>
        <v/>
      </c>
      <c r="I39" s="12">
        <f>IF(R39&lt;&gt;"","",IF(G39&lt;=0,"",C39-E39/60-F39/G39))</f>
        <v/>
      </c>
      <c r="J39" s="13">
        <f>IF(OR(I39="",D39=""),"",IF(I39&lt;=0,"nunca",ROUNDUP(D39/I39,0)))</f>
        <v/>
      </c>
      <c r="K39" s="12">
        <f>IF(OR(J39="",J39="nunca"),"",J39/G39)</f>
        <v/>
      </c>
      <c r="L39" s="14" t="inlineStr">
        <is>
          <t>Não automatizado</t>
        </is>
      </c>
      <c r="M39" s="15" t="inlineStr">
        <is>
          <t>Aceitar demanda com todos os obrigatórios no tamanho mínimo.</t>
        </is>
      </c>
      <c r="N39" s="6" t="inlineStr">
        <is>
          <t>HU-03 Registro de demanda</t>
        </is>
      </c>
      <c r="O39" s="15" t="inlineStr"/>
      <c r="P39" s="14" t="n"/>
      <c r="Q39" s="15" t="inlineStr"/>
      <c r="R39" s="13">
        <f>TRIM(IF(C39="","Tm ","")&amp;IF(AND(D39="",L39&lt;&gt;"Automatizado"),"Ti ","")&amp;IF(E39="","Ta ","")&amp;IF(F39="","Mn ","")&amp;IF(G39="","F ",""))</f>
        <v/>
      </c>
    </row>
    <row r="40">
      <c r="A40" s="6" t="inlineStr">
        <is>
          <t>TC35</t>
        </is>
      </c>
      <c r="B40" s="6" t="inlineStr">
        <is>
          <t>Integração de componentes</t>
        </is>
      </c>
      <c r="C40" s="7" t="n"/>
      <c r="D40" s="8" t="n"/>
      <c r="E40" s="9" t="n">
        <v>0.012</v>
      </c>
      <c r="F40" s="7" t="n"/>
      <c r="G40" s="10" t="n"/>
      <c r="H40" s="11">
        <f>IF(R40&lt;&gt;"","Falta preencher: "&amp;R40,IF(G40&lt;=0,"F precisa ser maior que 0",IF(L40="Automatizado",IF(I40&gt;0,"Sim (manter)","Não (aposentar e voltar ao manual)"),IF(I40&lt;=0,"Não",IF($D$3="","Sim, se faltarem pelo menos "&amp;FIXED(K40,1)&amp;" meses",IF(J40&lt;=G40*$D$3,"Sim","Não"))))))</f>
        <v/>
      </c>
      <c r="I40" s="12">
        <f>IF(R40&lt;&gt;"","",IF(G40&lt;=0,"",C40-E40/60-F40/G40))</f>
        <v/>
      </c>
      <c r="J40" s="13">
        <f>IF(OR(I40="",D40=""),"",IF(I40&lt;=0,"nunca",ROUNDUP(D40/I40,0)))</f>
        <v/>
      </c>
      <c r="K40" s="12">
        <f>IF(OR(J40="",J40="nunca"),"",J40/G40)</f>
        <v/>
      </c>
      <c r="L40" s="14" t="inlineStr">
        <is>
          <t>Automatizado</t>
        </is>
      </c>
      <c r="M40" s="15" t="inlineStr">
        <is>
          <t>Recusar demanda com descricao de 4 caracteres.</t>
        </is>
      </c>
      <c r="N40" s="6" t="inlineStr">
        <is>
          <t>HU-03 Registro de demanda</t>
        </is>
      </c>
      <c r="O40" s="15" t="inlineStr">
        <is>
          <t>tests/acceptance/02_demands.test.ts › CT-DEM-04</t>
        </is>
      </c>
      <c r="P40" s="14" t="n"/>
      <c r="Q40" s="15" t="inlineStr"/>
      <c r="R40" s="13">
        <f>TRIM(IF(C40="","Tm ","")&amp;IF(AND(D40="",L40&lt;&gt;"Automatizado"),"Ti ","")&amp;IF(E40="","Ta ","")&amp;IF(F40="","Mn ","")&amp;IF(G40="","F ",""))</f>
        <v/>
      </c>
    </row>
    <row r="41">
      <c r="A41" s="6" t="inlineStr">
        <is>
          <t>TC36</t>
        </is>
      </c>
      <c r="B41" s="6" t="inlineStr">
        <is>
          <t>Integração de componentes</t>
        </is>
      </c>
      <c r="C41" s="7" t="n"/>
      <c r="D41" s="10" t="n"/>
      <c r="E41" s="9" t="n">
        <v>0.024</v>
      </c>
      <c r="F41" s="7" t="n"/>
      <c r="G41" s="10" t="n"/>
      <c r="H41" s="11">
        <f>IF(R41&lt;&gt;"","Falta preencher: "&amp;R41,IF(G41&lt;=0,"F precisa ser maior que 0",IF(L41="Automatizado",IF(I41&gt;0,"Sim (manter)","Não (aposentar e voltar ao manual)"),IF(I41&lt;=0,"Não",IF($D$3="","Sim, se faltarem pelo menos "&amp;FIXED(K41,1)&amp;" meses",IF(J41&lt;=G41*$D$3,"Sim","Não"))))))</f>
        <v/>
      </c>
      <c r="I41" s="12">
        <f>IF(R41&lt;&gt;"","",IF(G41&lt;=0,"",C41-E41/60-F41/G41))</f>
        <v/>
      </c>
      <c r="J41" s="13">
        <f>IF(OR(I41="",D41=""),"",IF(I41&lt;=0,"nunca",ROUNDUP(D41/I41,0)))</f>
        <v/>
      </c>
      <c r="K41" s="12">
        <f>IF(OR(J41="",J41="nunca"),"",J41/G41)</f>
        <v/>
      </c>
      <c r="L41" s="14" t="inlineStr">
        <is>
          <t>Não automatizado</t>
        </is>
      </c>
      <c r="M41" s="15" t="inlineStr">
        <is>
          <t>Recusar demanda com endereco.endereco de 2 caracteres.</t>
        </is>
      </c>
      <c r="N41" s="6" t="inlineStr">
        <is>
          <t>HU-03 Registro de demanda</t>
        </is>
      </c>
      <c r="O41" s="15" t="inlineStr"/>
      <c r="P41" s="14" t="n"/>
      <c r="Q41" s="15" t="inlineStr">
        <is>
          <t>CT-DEM-06 omite o objeto endereco inteiro; não testa endereco com 2 caracteres (valor limite).</t>
        </is>
      </c>
      <c r="R41" s="13">
        <f>TRIM(IF(C41="","Tm ","")&amp;IF(AND(D41="",L41&lt;&gt;"Automatizado"),"Ti ","")&amp;IF(E41="","Ta ","")&amp;IF(F41="","Mn ","")&amp;IF(G41="","F ",""))</f>
        <v/>
      </c>
    </row>
    <row r="42">
      <c r="A42" s="6" t="inlineStr">
        <is>
          <t>TC37</t>
        </is>
      </c>
      <c r="B42" s="6" t="inlineStr">
        <is>
          <t>Integração de componentes</t>
        </is>
      </c>
      <c r="C42" s="7" t="n"/>
      <c r="D42" s="10" t="n"/>
      <c r="E42" s="9" t="n">
        <v>0.024</v>
      </c>
      <c r="F42" s="7" t="n"/>
      <c r="G42" s="10" t="n"/>
      <c r="H42" s="11">
        <f>IF(R42&lt;&gt;"","Falta preencher: "&amp;R42,IF(G42&lt;=0,"F precisa ser maior que 0",IF(L42="Automatizado",IF(I42&gt;0,"Sim (manter)","Não (aposentar e voltar ao manual)"),IF(I42&lt;=0,"Não",IF($D$3="","Sim, se faltarem pelo menos "&amp;FIXED(K42,1)&amp;" meses",IF(J42&lt;=G42*$D$3,"Sim","Não"))))))</f>
        <v/>
      </c>
      <c r="I42" s="12">
        <f>IF(R42&lt;&gt;"","",IF(G42&lt;=0,"",C42-E42/60-F42/G42))</f>
        <v/>
      </c>
      <c r="J42" s="13">
        <f>IF(OR(I42="",D42=""),"",IF(I42&lt;=0,"nunca",ROUNDUP(D42/I42,0)))</f>
        <v/>
      </c>
      <c r="K42" s="12">
        <f>IF(OR(J42="",J42="nunca"),"",J42/G42)</f>
        <v/>
      </c>
      <c r="L42" s="14" t="inlineStr">
        <is>
          <t>Não automatizado</t>
        </is>
      </c>
      <c r="M42" s="15" t="inlineStr">
        <is>
          <t>Recusar demanda sem categoria.</t>
        </is>
      </c>
      <c r="N42" s="6" t="inlineStr">
        <is>
          <t>HU-03 Registro de demanda</t>
        </is>
      </c>
      <c r="O42" s="15" t="inlineStr"/>
      <c r="P42" s="14" t="n"/>
      <c r="Q42" s="15" t="inlineStr"/>
      <c r="R42" s="13">
        <f>TRIM(IF(C42="","Tm ","")&amp;IF(AND(D42="",L42&lt;&gt;"Automatizado"),"Ti ","")&amp;IF(E42="","Ta ","")&amp;IF(F42="","Mn ","")&amp;IF(G42="","F ",""))</f>
        <v/>
      </c>
    </row>
    <row r="43">
      <c r="A43" s="6" t="inlineStr">
        <is>
          <t>TC38</t>
        </is>
      </c>
      <c r="B43" s="6" t="inlineStr">
        <is>
          <t>Integração de componentes</t>
        </is>
      </c>
      <c r="C43" s="7" t="n"/>
      <c r="D43" s="8" t="n"/>
      <c r="E43" s="9" t="n">
        <v>0.015</v>
      </c>
      <c r="F43" s="7" t="n"/>
      <c r="G43" s="10" t="n"/>
      <c r="H43" s="11">
        <f>IF(R43&lt;&gt;"","Falta preencher: "&amp;R43,IF(G43&lt;=0,"F precisa ser maior que 0",IF(L43="Automatizado",IF(I43&gt;0,"Sim (manter)","Não (aposentar e voltar ao manual)"),IF(I43&lt;=0,"Não",IF($D$3="","Sim, se faltarem pelo menos "&amp;FIXED(K43,1)&amp;" meses",IF(J43&lt;=G43*$D$3,"Sim","Não"))))))</f>
        <v/>
      </c>
      <c r="I43" s="12">
        <f>IF(R43&lt;&gt;"","",IF(G43&lt;=0,"",C43-E43/60-F43/G43))</f>
        <v/>
      </c>
      <c r="J43" s="13">
        <f>IF(OR(I43="",D43=""),"",IF(I43&lt;=0,"nunca",ROUNDUP(D43/I43,0)))</f>
        <v/>
      </c>
      <c r="K43" s="12">
        <f>IF(OR(J43="",J43="nunca"),"",J43/G43)</f>
        <v/>
      </c>
      <c r="L43" s="14" t="inlineStr">
        <is>
          <t>Automatizado</t>
        </is>
      </c>
      <c r="M43" s="15" t="inlineStr">
        <is>
          <t>Recusar demanda com categoria fora do enum.</t>
        </is>
      </c>
      <c r="N43" s="6" t="inlineStr">
        <is>
          <t>HU-03 Registro de demanda</t>
        </is>
      </c>
      <c r="O43" s="15" t="inlineStr">
        <is>
          <t>tests/acceptance/02_demands.test.ts › CT-DEM-05</t>
        </is>
      </c>
      <c r="P43" s="14" t="n"/>
      <c r="Q43" s="15" t="inlineStr"/>
      <c r="R43" s="13">
        <f>TRIM(IF(C43="","Tm ","")&amp;IF(AND(D43="",L43&lt;&gt;"Automatizado"),"Ti ","")&amp;IF(E43="","Ta ","")&amp;IF(F43="","Mn ","")&amp;IF(G43="","F ",""))</f>
        <v/>
      </c>
    </row>
    <row r="44">
      <c r="A44" s="6" t="inlineStr">
        <is>
          <t>TC39</t>
        </is>
      </c>
      <c r="B44" s="6" t="inlineStr">
        <is>
          <t>Integração de componentes</t>
        </is>
      </c>
      <c r="C44" s="7" t="n"/>
      <c r="D44" s="10" t="n"/>
      <c r="E44" s="9" t="n">
        <v>0.024</v>
      </c>
      <c r="F44" s="7" t="n"/>
      <c r="G44" s="10" t="n"/>
      <c r="H44" s="11">
        <f>IF(R44&lt;&gt;"","Falta preencher: "&amp;R44,IF(G44&lt;=0,"F precisa ser maior que 0",IF(L44="Automatizado",IF(I44&gt;0,"Sim (manter)","Não (aposentar e voltar ao manual)"),IF(I44&lt;=0,"Não",IF($D$3="","Sim, se faltarem pelo menos "&amp;FIXED(K44,1)&amp;" meses",IF(J44&lt;=G44*$D$3,"Sim","Não"))))))</f>
        <v/>
      </c>
      <c r="I44" s="12">
        <f>IF(R44&lt;&gt;"","",IF(G44&lt;=0,"",C44-E44/60-F44/G44))</f>
        <v/>
      </c>
      <c r="J44" s="13">
        <f>IF(OR(I44="",D44=""),"",IF(I44&lt;=0,"nunca",ROUNDUP(D44/I44,0)))</f>
        <v/>
      </c>
      <c r="K44" s="12">
        <f>IF(OR(J44="",J44="nunca"),"",J44/G44)</f>
        <v/>
      </c>
      <c r="L44" s="14" t="inlineStr">
        <is>
          <t>Não automatizado</t>
        </is>
      </c>
      <c r="M44" s="15" t="inlineStr">
        <is>
          <t>Recusar demanda com prioridade fora do enum.</t>
        </is>
      </c>
      <c r="N44" s="6" t="inlineStr">
        <is>
          <t>HU-03 Registro de demanda</t>
        </is>
      </c>
      <c r="O44" s="15" t="inlineStr"/>
      <c r="P44" s="14" t="n"/>
      <c r="Q44" s="15" t="inlineStr"/>
      <c r="R44" s="13">
        <f>TRIM(IF(C44="","Tm ","")&amp;IF(AND(D44="",L44&lt;&gt;"Automatizado"),"Ti ","")&amp;IF(E44="","Ta ","")&amp;IF(F44="","Mn ","")&amp;IF(G44="","F ",""))</f>
        <v/>
      </c>
    </row>
    <row r="45">
      <c r="A45" s="6" t="inlineStr">
        <is>
          <t>TC40</t>
        </is>
      </c>
      <c r="B45" s="6" t="inlineStr">
        <is>
          <t>Integração de componentes</t>
        </is>
      </c>
      <c r="C45" s="7" t="n"/>
      <c r="D45" s="8" t="n"/>
      <c r="E45" s="9" t="n">
        <v>0.02</v>
      </c>
      <c r="F45" s="7" t="n"/>
      <c r="G45" s="10" t="n"/>
      <c r="H45" s="11">
        <f>IF(R45&lt;&gt;"","Falta preencher: "&amp;R45,IF(G45&lt;=0,"F precisa ser maior que 0",IF(L45="Automatizado",IF(I45&gt;0,"Sim (manter)","Não (aposentar e voltar ao manual)"),IF(I45&lt;=0,"Não",IF($D$3="","Sim, se faltarem pelo menos "&amp;FIXED(K45,1)&amp;" meses",IF(J45&lt;=G45*$D$3,"Sim","Não"))))))</f>
        <v/>
      </c>
      <c r="I45" s="12">
        <f>IF(R45&lt;&gt;"","",IF(G45&lt;=0,"",C45-E45/60-F45/G45))</f>
        <v/>
      </c>
      <c r="J45" s="13">
        <f>IF(OR(I45="",D45=""),"",IF(I45&lt;=0,"nunca",ROUNDUP(D45/I45,0)))</f>
        <v/>
      </c>
      <c r="K45" s="12">
        <f>IF(OR(J45="",J45="nunca"),"",J45/G45)</f>
        <v/>
      </c>
      <c r="L45" s="14" t="inlineStr">
        <is>
          <t>Automatizado</t>
        </is>
      </c>
      <c r="M45" s="15" t="inlineStr">
        <is>
          <t>Recusar criação de demanda sem autenticação.</t>
        </is>
      </c>
      <c r="N45" s="6" t="inlineStr">
        <is>
          <t>HU-03 Registro de demanda</t>
        </is>
      </c>
      <c r="O45" s="15" t="inlineStr">
        <is>
          <t>tests/acceptance/02_demands.test.ts › CT-DEM-02</t>
        </is>
      </c>
      <c r="P45" s="14" t="n"/>
      <c r="Q45" s="15" t="inlineStr"/>
      <c r="R45" s="13">
        <f>TRIM(IF(C45="","Tm ","")&amp;IF(AND(D45="",L45&lt;&gt;"Automatizado"),"Ti ","")&amp;IF(E45="","Ta ","")&amp;IF(F45="","Mn ","")&amp;IF(G45="","F ",""))</f>
        <v/>
      </c>
    </row>
    <row r="46">
      <c r="A46" s="6" t="inlineStr">
        <is>
          <t>TC41</t>
        </is>
      </c>
      <c r="B46" s="6" t="inlineStr">
        <is>
          <t>Sistema</t>
        </is>
      </c>
      <c r="C46" s="7" t="n"/>
      <c r="D46" s="8" t="n"/>
      <c r="E46" s="9" t="n">
        <v>3.035</v>
      </c>
      <c r="F46" s="7" t="n"/>
      <c r="G46" s="10" t="n"/>
      <c r="H46" s="11">
        <f>IF(R46&lt;&gt;"","Falta preencher: "&amp;R46,IF(G46&lt;=0,"F precisa ser maior que 0",IF(L46="Automatizado",IF(I46&gt;0,"Sim (manter)","Não (aposentar e voltar ao manual)"),IF(I46&lt;=0,"Não",IF($D$3="","Sim, se faltarem pelo menos "&amp;FIXED(K46,1)&amp;" meses",IF(J46&lt;=G46*$D$3,"Sim","Não"))))))</f>
        <v/>
      </c>
      <c r="I46" s="12">
        <f>IF(R46&lt;&gt;"","",IF(G46&lt;=0,"",C46-E46/60-F46/G46))</f>
        <v/>
      </c>
      <c r="J46" s="13">
        <f>IF(OR(I46="",D46=""),"",IF(I46&lt;=0,"nunca",ROUNDUP(D46/I46,0)))</f>
        <v/>
      </c>
      <c r="K46" s="12">
        <f>IF(OR(J46="",J46="nunca"),"",J46/G46)</f>
        <v/>
      </c>
      <c r="L46" s="14" t="inlineStr">
        <is>
          <t>Automatizado</t>
        </is>
      </c>
      <c r="M46" s="15" t="inlineStr">
        <is>
          <t>Abrir a tela de detalhe com o protocolo depois de registrar a demanda.</t>
        </is>
      </c>
      <c r="N46" s="6" t="inlineStr">
        <is>
          <t>HU-03 Registro de demanda</t>
        </is>
      </c>
      <c r="O46" s="15" t="inlineStr">
        <is>
          <t>e2e/tests/registrar-demanda.spec.ts</t>
        </is>
      </c>
      <c r="P46" s="14" t="n"/>
      <c r="Q46" s="15" t="inlineStr"/>
      <c r="R46" s="13">
        <f>TRIM(IF(C46="","Tm ","")&amp;IF(AND(D46="",L46&lt;&gt;"Automatizado"),"Ti ","")&amp;IF(E46="","Ta ","")&amp;IF(F46="","Mn ","")&amp;IF(G46="","F ",""))</f>
        <v/>
      </c>
    </row>
    <row r="47">
      <c r="A47" s="6" t="inlineStr">
        <is>
          <t>TC42</t>
        </is>
      </c>
      <c r="B47" s="6" t="inlineStr">
        <is>
          <t>Sistema</t>
        </is>
      </c>
      <c r="C47" s="7" t="n"/>
      <c r="D47" s="10" t="n"/>
      <c r="E47" s="9" t="n">
        <v>2.706</v>
      </c>
      <c r="F47" s="7" t="n"/>
      <c r="G47" s="10" t="n"/>
      <c r="H47" s="11">
        <f>IF(R47&lt;&gt;"","Falta preencher: "&amp;R47,IF(G47&lt;=0,"F precisa ser maior que 0",IF(L47="Automatizado",IF(I47&gt;0,"Sim (manter)","Não (aposentar e voltar ao manual)"),IF(I47&lt;=0,"Não",IF($D$3="","Sim, se faltarem pelo menos "&amp;FIXED(K47,1)&amp;" meses",IF(J47&lt;=G47*$D$3,"Sim","Não"))))))</f>
        <v/>
      </c>
      <c r="I47" s="12">
        <f>IF(R47&lt;&gt;"","",IF(G47&lt;=0,"",C47-E47/60-F47/G47))</f>
        <v/>
      </c>
      <c r="J47" s="13">
        <f>IF(OR(I47="",D47=""),"",IF(I47&lt;=0,"nunca",ROUNDUP(D47/I47,0)))</f>
        <v/>
      </c>
      <c r="K47" s="12">
        <f>IF(OR(J47="",J47="nunca"),"",J47/G47)</f>
        <v/>
      </c>
      <c r="L47" s="14" t="inlineStr">
        <is>
          <t>Não automatizado</t>
        </is>
      </c>
      <c r="M47" s="15" t="inlineStr">
        <is>
          <t>Impedir o envio da demanda sem localização.</t>
        </is>
      </c>
      <c r="N47" s="6" t="inlineStr">
        <is>
          <t>HU-03 Registro de demanda</t>
        </is>
      </c>
      <c r="O47" s="15" t="inlineStr"/>
      <c r="P47" s="14" t="n"/>
      <c r="Q47" s="15" t="inlineStr"/>
      <c r="R47" s="13">
        <f>TRIM(IF(C47="","Tm ","")&amp;IF(AND(D47="",L47&lt;&gt;"Automatizado"),"Ti ","")&amp;IF(E47="","Ta ","")&amp;IF(F47="","Mn ","")&amp;IF(G47="","F ",""))</f>
        <v/>
      </c>
    </row>
    <row r="48">
      <c r="A48" s="6" t="inlineStr">
        <is>
          <t>TC43</t>
        </is>
      </c>
      <c r="B48" s="6" t="inlineStr">
        <is>
          <t>Sistema</t>
        </is>
      </c>
      <c r="C48" s="7" t="n"/>
      <c r="D48" s="10" t="n"/>
      <c r="E48" s="9" t="n">
        <v>2.706</v>
      </c>
      <c r="F48" s="7" t="n"/>
      <c r="G48" s="10" t="n"/>
      <c r="H48" s="11">
        <f>IF(R48&lt;&gt;"","Falta preencher: "&amp;R48,IF(G48&lt;=0,"F precisa ser maior que 0",IF(L48="Automatizado",IF(I48&gt;0,"Sim (manter)","Não (aposentar e voltar ao manual)"),IF(I48&lt;=0,"Não",IF($D$3="","Sim, se faltarem pelo menos "&amp;FIXED(K48,1)&amp;" meses",IF(J48&lt;=G48*$D$3,"Sim","Não"))))))</f>
        <v/>
      </c>
      <c r="I48" s="12">
        <f>IF(R48&lt;&gt;"","",IF(G48&lt;=0,"",C48-E48/60-F48/G48))</f>
        <v/>
      </c>
      <c r="J48" s="13">
        <f>IF(OR(I48="",D48=""),"",IF(I48&lt;=0,"nunca",ROUNDUP(D48/I48,0)))</f>
        <v/>
      </c>
      <c r="K48" s="12">
        <f>IF(OR(J48="",J48="nunca"),"",J48/G48)</f>
        <v/>
      </c>
      <c r="L48" s="14" t="inlineStr">
        <is>
          <t>Não automatizado</t>
        </is>
      </c>
      <c r="M48" s="15" t="inlineStr">
        <is>
          <t>Impedir o envio da demanda sem aceite de compartilhamento de dados.</t>
        </is>
      </c>
      <c r="N48" s="6" t="inlineStr">
        <is>
          <t>HU-03 Registro de demanda</t>
        </is>
      </c>
      <c r="O48" s="15" t="inlineStr"/>
      <c r="P48" s="14" t="n"/>
      <c r="Q48" s="15" t="inlineStr"/>
      <c r="R48" s="13">
        <f>TRIM(IF(C48="","Tm ","")&amp;IF(AND(D48="",L48&lt;&gt;"Automatizado"),"Ti ","")&amp;IF(E48="","Ta ","")&amp;IF(F48="","Mn ","")&amp;IF(G48="","F ",""))</f>
        <v/>
      </c>
    </row>
    <row r="49">
      <c r="A49" s="6" t="inlineStr">
        <is>
          <t>TC44</t>
        </is>
      </c>
      <c r="B49" s="6" t="inlineStr">
        <is>
          <t>Componente</t>
        </is>
      </c>
      <c r="C49" s="7" t="n"/>
      <c r="D49" s="10" t="n"/>
      <c r="E49" s="9" t="n">
        <v>0.013</v>
      </c>
      <c r="F49" s="7" t="n"/>
      <c r="G49" s="10" t="n"/>
      <c r="H49" s="11">
        <f>IF(R49&lt;&gt;"","Falta preencher: "&amp;R49,IF(G49&lt;=0,"F precisa ser maior que 0",IF(L49="Automatizado",IF(I49&gt;0,"Sim (manter)","Não (aposentar e voltar ao manual)"),IF(I49&lt;=0,"Não",IF($D$3="","Sim, se faltarem pelo menos "&amp;FIXED(K49,1)&amp;" meses",IF(J49&lt;=G49*$D$3,"Sim","Não"))))))</f>
        <v/>
      </c>
      <c r="I49" s="12">
        <f>IF(R49&lt;&gt;"","",IF(G49&lt;=0,"",C49-E49/60-F49/G49))</f>
        <v/>
      </c>
      <c r="J49" s="13">
        <f>IF(OR(I49="",D49=""),"",IF(I49&lt;=0,"nunca",ROUNDUP(D49/I49,0)))</f>
        <v/>
      </c>
      <c r="K49" s="12">
        <f>IF(OR(J49="",J49="nunca"),"",J49/G49)</f>
        <v/>
      </c>
      <c r="L49" s="14" t="inlineStr">
        <is>
          <t>Não automatizado</t>
        </is>
      </c>
      <c r="M49" s="15" t="inlineStr">
        <is>
          <t>Preencher título e descrição com a sugestão da triagem depois do upload.</t>
        </is>
      </c>
      <c r="N49" s="6" t="inlineStr">
        <is>
          <t>HU-03 Registro de demanda</t>
        </is>
      </c>
      <c r="O49" s="15" t="inlineStr"/>
      <c r="P49" s="14" t="n"/>
      <c r="Q49" s="15" t="inlineStr"/>
      <c r="R49" s="13">
        <f>TRIM(IF(C49="","Tm ","")&amp;IF(AND(D49="",L49&lt;&gt;"Automatizado"),"Ti ","")&amp;IF(E49="","Ta ","")&amp;IF(F49="","Mn ","")&amp;IF(G49="","F ",""))</f>
        <v/>
      </c>
    </row>
    <row r="50">
      <c r="A50" s="6" t="inlineStr">
        <is>
          <t>TC45</t>
        </is>
      </c>
      <c r="B50" s="6" t="inlineStr">
        <is>
          <t>Sistema</t>
        </is>
      </c>
      <c r="C50" s="7" t="n"/>
      <c r="D50" s="10" t="n"/>
      <c r="E50" s="9" t="n">
        <v>2.706</v>
      </c>
      <c r="F50" s="7" t="n"/>
      <c r="G50" s="10" t="n"/>
      <c r="H50" s="11">
        <f>IF(R50&lt;&gt;"","Falta preencher: "&amp;R50,IF(G50&lt;=0,"F precisa ser maior que 0",IF(L50="Automatizado",IF(I50&gt;0,"Sim (manter)","Não (aposentar e voltar ao manual)"),IF(I50&lt;=0,"Não",IF($D$3="","Sim, se faltarem pelo menos "&amp;FIXED(K50,1)&amp;" meses",IF(J50&lt;=G50*$D$3,"Sim","Não"))))))</f>
        <v/>
      </c>
      <c r="I50" s="12">
        <f>IF(R50&lt;&gt;"","",IF(G50&lt;=0,"",C50-E50/60-F50/G50))</f>
        <v/>
      </c>
      <c r="J50" s="13">
        <f>IF(OR(I50="",D50=""),"",IF(I50&lt;=0,"nunca",ROUNDUP(D50/I50,0)))</f>
        <v/>
      </c>
      <c r="K50" s="12">
        <f>IF(OR(J50="",J50="nunca"),"",J50/G50)</f>
        <v/>
      </c>
      <c r="L50" s="14" t="inlineStr">
        <is>
          <t>Não automatizado</t>
        </is>
      </c>
      <c r="M50" s="15" t="inlineStr">
        <is>
          <t>Vincular à demanda criada a foto anexada no formulário.</t>
        </is>
      </c>
      <c r="N50" s="6" t="inlineStr">
        <is>
          <t>HU-12 Anexar fotos</t>
        </is>
      </c>
      <c r="O50" s="15" t="inlineStr"/>
      <c r="P50" s="14" t="n"/>
      <c r="Q50" s="15" t="inlineStr"/>
      <c r="R50" s="13">
        <f>TRIM(IF(C50="","Tm ","")&amp;IF(AND(D50="",L50&lt;&gt;"Automatizado"),"Ti ","")&amp;IF(E50="","Ta ","")&amp;IF(F50="","Mn ","")&amp;IF(G50="","F ",""))</f>
        <v/>
      </c>
    </row>
    <row r="51">
      <c r="A51" s="6" t="inlineStr">
        <is>
          <t>TC46</t>
        </is>
      </c>
      <c r="B51" s="6" t="inlineStr">
        <is>
          <t>Integração de componentes</t>
        </is>
      </c>
      <c r="C51" s="7" t="n"/>
      <c r="D51" s="10" t="n"/>
      <c r="E51" s="9" t="n">
        <v>0.024</v>
      </c>
      <c r="F51" s="7" t="n"/>
      <c r="G51" s="10" t="n"/>
      <c r="H51" s="11">
        <f>IF(R51&lt;&gt;"","Falta preencher: "&amp;R51,IF(G51&lt;=0,"F precisa ser maior que 0",IF(L51="Automatizado",IF(I51&gt;0,"Sim (manter)","Não (aposentar e voltar ao manual)"),IF(I51&lt;=0,"Não",IF($D$3="","Sim, se faltarem pelo menos "&amp;FIXED(K51,1)&amp;" meses",IF(J51&lt;=G51*$D$3,"Sim","Não"))))))</f>
        <v/>
      </c>
      <c r="I51" s="12">
        <f>IF(R51&lt;&gt;"","",IF(G51&lt;=0,"",C51-E51/60-F51/G51))</f>
        <v/>
      </c>
      <c r="J51" s="13">
        <f>IF(OR(I51="",D51=""),"",IF(I51&lt;=0,"nunca",ROUNDUP(D51/I51,0)))</f>
        <v/>
      </c>
      <c r="K51" s="12">
        <f>IF(OR(J51="",J51="nunca"),"",J51/G51)</f>
        <v/>
      </c>
      <c r="L51" s="14" t="inlineStr">
        <is>
          <t>Não automatizado</t>
        </is>
      </c>
      <c r="M51" s="15" t="inlineStr">
        <is>
          <t>Receber a URL da imagem ao enviar arquivo válido.</t>
        </is>
      </c>
      <c r="N51" s="6" t="inlineStr">
        <is>
          <t>HU-12 Anexar fotos</t>
        </is>
      </c>
      <c r="O51" s="15" t="inlineStr"/>
      <c r="P51" s="14" t="n"/>
      <c r="Q51" s="15" t="inlineStr"/>
      <c r="R51" s="13">
        <f>TRIM(IF(C51="","Tm ","")&amp;IF(AND(D51="",L51&lt;&gt;"Automatizado"),"Ti ","")&amp;IF(E51="","Ta ","")&amp;IF(F51="","Mn ","")&amp;IF(G51="","F ",""))</f>
        <v/>
      </c>
    </row>
    <row r="52">
      <c r="A52" s="6" t="inlineStr">
        <is>
          <t>TC47</t>
        </is>
      </c>
      <c r="B52" s="6" t="inlineStr">
        <is>
          <t>Integração de componentes</t>
        </is>
      </c>
      <c r="C52" s="7" t="n"/>
      <c r="D52" s="10" t="n"/>
      <c r="E52" s="9" t="n">
        <v>0.024</v>
      </c>
      <c r="F52" s="7" t="n"/>
      <c r="G52" s="10" t="n"/>
      <c r="H52" s="11">
        <f>IF(R52&lt;&gt;"","Falta preencher: "&amp;R52,IF(G52&lt;=0,"F precisa ser maior que 0",IF(L52="Automatizado",IF(I52&gt;0,"Sim (manter)","Não (aposentar e voltar ao manual)"),IF(I52&lt;=0,"Não",IF($D$3="","Sim, se faltarem pelo menos "&amp;FIXED(K52,1)&amp;" meses",IF(J52&lt;=G52*$D$3,"Sim","Não"))))))</f>
        <v/>
      </c>
      <c r="I52" s="12">
        <f>IF(R52&lt;&gt;"","",IF(G52&lt;=0,"",C52-E52/60-F52/G52))</f>
        <v/>
      </c>
      <c r="J52" s="13">
        <f>IF(OR(I52="",D52=""),"",IF(I52&lt;=0,"nunca",ROUNDUP(D52/I52,0)))</f>
        <v/>
      </c>
      <c r="K52" s="12">
        <f>IF(OR(J52="",J52="nunca"),"",J52/G52)</f>
        <v/>
      </c>
      <c r="L52" s="14" t="inlineStr">
        <is>
          <t>Não automatizado</t>
        </is>
      </c>
      <c r="M52" s="15" t="inlineStr">
        <is>
          <t>Recusar upload sem arquivo.</t>
        </is>
      </c>
      <c r="N52" s="6" t="inlineStr">
        <is>
          <t>HU-12 Anexar fotos</t>
        </is>
      </c>
      <c r="O52" s="15" t="inlineStr"/>
      <c r="P52" s="14" t="n"/>
      <c r="Q52" s="15" t="inlineStr"/>
      <c r="R52" s="13">
        <f>TRIM(IF(C52="","Tm ","")&amp;IF(AND(D52="",L52&lt;&gt;"Automatizado"),"Ti ","")&amp;IF(E52="","Ta ","")&amp;IF(F52="","Mn ","")&amp;IF(G52="","F ",""))</f>
        <v/>
      </c>
    </row>
    <row r="53">
      <c r="A53" s="6" t="inlineStr">
        <is>
          <t>TC48</t>
        </is>
      </c>
      <c r="B53" s="6" t="inlineStr">
        <is>
          <t>Integração de componentes</t>
        </is>
      </c>
      <c r="C53" s="7" t="n"/>
      <c r="D53" s="10" t="n"/>
      <c r="E53" s="9" t="n">
        <v>0.024</v>
      </c>
      <c r="F53" s="7" t="n"/>
      <c r="G53" s="10" t="n"/>
      <c r="H53" s="11">
        <f>IF(R53&lt;&gt;"","Falta preencher: "&amp;R53,IF(G53&lt;=0,"F precisa ser maior que 0",IF(L53="Automatizado",IF(I53&gt;0,"Sim (manter)","Não (aposentar e voltar ao manual)"),IF(I53&lt;=0,"Não",IF($D$3="","Sim, se faltarem pelo menos "&amp;FIXED(K53,1)&amp;" meses",IF(J53&lt;=G53*$D$3,"Sim","Não"))))))</f>
        <v/>
      </c>
      <c r="I53" s="12">
        <f>IF(R53&lt;&gt;"","",IF(G53&lt;=0,"",C53-E53/60-F53/G53))</f>
        <v/>
      </c>
      <c r="J53" s="13">
        <f>IF(OR(I53="",D53=""),"",IF(I53&lt;=0,"nunca",ROUNDUP(D53/I53,0)))</f>
        <v/>
      </c>
      <c r="K53" s="12">
        <f>IF(OR(J53="",J53="nunca"),"",J53/G53)</f>
        <v/>
      </c>
      <c r="L53" s="14" t="inlineStr">
        <is>
          <t>Não automatizado</t>
        </is>
      </c>
      <c r="M53" s="15" t="inlineStr">
        <is>
          <t>Recusar upload sem autenticação.</t>
        </is>
      </c>
      <c r="N53" s="6" t="inlineStr">
        <is>
          <t>HU-12 Anexar fotos</t>
        </is>
      </c>
      <c r="O53" s="15" t="inlineStr"/>
      <c r="P53" s="14" t="n"/>
      <c r="Q53" s="15" t="inlineStr"/>
      <c r="R53" s="13">
        <f>TRIM(IF(C53="","Tm ","")&amp;IF(AND(D53="",L53&lt;&gt;"Automatizado"),"Ti ","")&amp;IF(E53="","Ta ","")&amp;IF(F53="","Mn ","")&amp;IF(G53="","F ",""))</f>
        <v/>
      </c>
    </row>
    <row r="54">
      <c r="A54" s="6" t="inlineStr">
        <is>
          <t>TC49</t>
        </is>
      </c>
      <c r="B54" s="6" t="inlineStr">
        <is>
          <t>Integração de componentes</t>
        </is>
      </c>
      <c r="C54" s="7" t="n"/>
      <c r="D54" s="10" t="n"/>
      <c r="E54" s="9" t="n">
        <v>0.024</v>
      </c>
      <c r="F54" s="7" t="n"/>
      <c r="G54" s="10" t="n"/>
      <c r="H54" s="11">
        <f>IF(R54&lt;&gt;"","Falta preencher: "&amp;R54,IF(G54&lt;=0,"F precisa ser maior que 0",IF(L54="Automatizado",IF(I54&gt;0,"Sim (manter)","Não (aposentar e voltar ao manual)"),IF(I54&lt;=0,"Não",IF($D$3="","Sim, se faltarem pelo menos "&amp;FIXED(K54,1)&amp;" meses",IF(J54&lt;=G54*$D$3,"Sim","Não"))))))</f>
        <v/>
      </c>
      <c r="I54" s="12">
        <f>IF(R54&lt;&gt;"","",IF(G54&lt;=0,"",C54-E54/60-F54/G54))</f>
        <v/>
      </c>
      <c r="J54" s="13">
        <f>IF(OR(I54="",D54=""),"",IF(I54&lt;=0,"nunca",ROUNDUP(D54/I54,0)))</f>
        <v/>
      </c>
      <c r="K54" s="12">
        <f>IF(OR(J54="",J54="nunca"),"",J54/G54)</f>
        <v/>
      </c>
      <c r="L54" s="14" t="inlineStr">
        <is>
          <t>Não automatizado</t>
        </is>
      </c>
      <c r="M54" s="15" t="inlineStr">
        <is>
          <t>Usar a categoria enviada pelo frontend quando o Google Vision não está configurado.</t>
        </is>
      </c>
      <c r="N54" s="6" t="inlineStr">
        <is>
          <t>HU-08 Revisão da triagem</t>
        </is>
      </c>
      <c r="O54" s="15" t="inlineStr"/>
      <c r="P54" s="14" t="n"/>
      <c r="Q54" s="15" t="inlineStr"/>
      <c r="R54" s="13">
        <f>TRIM(IF(C54="","Tm ","")&amp;IF(AND(D54="",L54&lt;&gt;"Automatizado"),"Ti ","")&amp;IF(E54="","Ta ","")&amp;IF(F54="","Mn ","")&amp;IF(G54="","F ",""))</f>
        <v/>
      </c>
    </row>
    <row r="55">
      <c r="A55" s="6" t="inlineStr">
        <is>
          <t>TC50</t>
        </is>
      </c>
      <c r="B55" s="6" t="inlineStr">
        <is>
          <t>Integração de componentes</t>
        </is>
      </c>
      <c r="C55" s="7" t="n"/>
      <c r="D55" s="10" t="n"/>
      <c r="E55" s="9" t="n">
        <v>0.024</v>
      </c>
      <c r="F55" s="7" t="n"/>
      <c r="G55" s="10" t="n"/>
      <c r="H55" s="11">
        <f>IF(R55&lt;&gt;"","Falta preencher: "&amp;R55,IF(G55&lt;=0,"F precisa ser maior que 0",IF(L55="Automatizado",IF(I55&gt;0,"Sim (manter)","Não (aposentar e voltar ao manual)"),IF(I55&lt;=0,"Não",IF($D$3="","Sim, se faltarem pelo menos "&amp;FIXED(K55,1)&amp;" meses",IF(J55&lt;=G55*$D$3,"Sim","Não"))))))</f>
        <v/>
      </c>
      <c r="I55" s="12">
        <f>IF(R55&lt;&gt;"","",IF(G55&lt;=0,"",C55-E55/60-F55/G55))</f>
        <v/>
      </c>
      <c r="J55" s="13">
        <f>IF(OR(I55="",D55=""),"",IF(I55&lt;=0,"nunca",ROUNDUP(D55/I55,0)))</f>
        <v/>
      </c>
      <c r="K55" s="12">
        <f>IF(OR(J55="",J55="nunca"),"",J55/G55)</f>
        <v/>
      </c>
      <c r="L55" s="14" t="inlineStr">
        <is>
          <t>Não automatizado</t>
        </is>
      </c>
      <c r="M55" s="15" t="inlineStr">
        <is>
          <t>Usar a categoria enviada quando o Google Vision configurado falha.</t>
        </is>
      </c>
      <c r="N55" s="6" t="inlineStr">
        <is>
          <t>HU-08 Revisão da triagem</t>
        </is>
      </c>
      <c r="O55" s="15" t="inlineStr"/>
      <c r="P55" s="14" t="n"/>
      <c r="Q55" s="15" t="inlineStr"/>
      <c r="R55" s="13">
        <f>TRIM(IF(C55="","Tm ","")&amp;IF(AND(D55="",L55&lt;&gt;"Automatizado"),"Ti ","")&amp;IF(E55="","Ta ","")&amp;IF(F55="","Mn ","")&amp;IF(G55="","F ",""))</f>
        <v/>
      </c>
    </row>
    <row r="56">
      <c r="A56" s="6" t="inlineStr">
        <is>
          <t>TC51</t>
        </is>
      </c>
      <c r="B56" s="6" t="inlineStr">
        <is>
          <t>Sistema</t>
        </is>
      </c>
      <c r="C56" s="7" t="n"/>
      <c r="D56" s="10" t="n"/>
      <c r="E56" s="9" t="n">
        <v>2.706</v>
      </c>
      <c r="F56" s="7" t="n"/>
      <c r="G56" s="10" t="n"/>
      <c r="H56" s="11">
        <f>IF(R56&lt;&gt;"","Falta preencher: "&amp;R56,IF(G56&lt;=0,"F precisa ser maior que 0",IF(L56="Automatizado",IF(I56&gt;0,"Sim (manter)","Não (aposentar e voltar ao manual)"),IF(I56&lt;=0,"Não",IF($D$3="","Sim, se faltarem pelo menos "&amp;FIXED(K56,1)&amp;" meses",IF(J56&lt;=G56*$D$3,"Sim","Não"))))))</f>
        <v/>
      </c>
      <c r="I56" s="12">
        <f>IF(R56&lt;&gt;"","",IF(G56&lt;=0,"",C56-E56/60-F56/G56))</f>
        <v/>
      </c>
      <c r="J56" s="13">
        <f>IF(OR(I56="",D56=""),"",IF(I56&lt;=0,"nunca",ROUNDUP(D56/I56,0)))</f>
        <v/>
      </c>
      <c r="K56" s="12">
        <f>IF(OR(J56="",J56="nunca"),"",J56/G56)</f>
        <v/>
      </c>
      <c r="L56" s="14" t="inlineStr">
        <is>
          <t>Não automatizado</t>
        </is>
      </c>
      <c r="M56" s="15" t="inlineStr">
        <is>
          <t>Registrar demanda com a categoria escolhida manualmente quando o Vision está indisponível.</t>
        </is>
      </c>
      <c r="N56" s="6" t="inlineStr">
        <is>
          <t>HU-03 Registro de demanda</t>
        </is>
      </c>
      <c r="O56" s="15" t="inlineStr"/>
      <c r="P56" s="14" t="n"/>
      <c r="Q56" s="15" t="inlineStr"/>
      <c r="R56" s="13">
        <f>TRIM(IF(C56="","Tm ","")&amp;IF(AND(D56="",L56&lt;&gt;"Automatizado"),"Ti ","")&amp;IF(E56="","Ta ","")&amp;IF(F56="","Mn ","")&amp;IF(G56="","F ",""))</f>
        <v/>
      </c>
    </row>
    <row r="57">
      <c r="A57" s="6" t="inlineStr">
        <is>
          <t>TC52</t>
        </is>
      </c>
      <c r="B57" s="6" t="inlineStr">
        <is>
          <t>Integração de componentes</t>
        </is>
      </c>
      <c r="C57" s="7" t="n"/>
      <c r="D57" s="8" t="n"/>
      <c r="E57" s="9" t="n">
        <v>0.447</v>
      </c>
      <c r="F57" s="7" t="n"/>
      <c r="G57" s="10" t="n"/>
      <c r="H57" s="11">
        <f>IF(R57&lt;&gt;"","Falta preencher: "&amp;R57,IF(G57&lt;=0,"F precisa ser maior que 0",IF(L57="Automatizado",IF(I57&gt;0,"Sim (manter)","Não (aposentar e voltar ao manual)"),IF(I57&lt;=0,"Não",IF($D$3="","Sim, se faltarem pelo menos "&amp;FIXED(K57,1)&amp;" meses",IF(J57&lt;=G57*$D$3,"Sim","Não"))))))</f>
        <v/>
      </c>
      <c r="I57" s="12">
        <f>IF(R57&lt;&gt;"","",IF(G57&lt;=0,"",C57-E57/60-F57/G57))</f>
        <v/>
      </c>
      <c r="J57" s="13">
        <f>IF(OR(I57="",D57=""),"",IF(I57&lt;=0,"nunca",ROUNDUP(D57/I57,0)))</f>
        <v/>
      </c>
      <c r="K57" s="12">
        <f>IF(OR(J57="",J57="nunca"),"",J57/G57)</f>
        <v/>
      </c>
      <c r="L57" s="14" t="inlineStr">
        <is>
          <t>Automatizado</t>
        </is>
      </c>
      <c r="M57" s="15" t="inlineStr">
        <is>
          <t>Listar para o cidadão só as próprias demandas.</t>
        </is>
      </c>
      <c r="N57" s="6" t="inlineStr">
        <is>
          <t>HU-06 Visualizar e filtrar demandas</t>
        </is>
      </c>
      <c r="O57" s="15" t="inlineStr">
        <is>
          <t>tests/acceptance/02_demands.test.ts › CT-DEM-07</t>
        </is>
      </c>
      <c r="P57" s="14" t="n"/>
      <c r="Q57" s="15" t="inlineStr"/>
      <c r="R57" s="13">
        <f>TRIM(IF(C57="","Tm ","")&amp;IF(AND(D57="",L57&lt;&gt;"Automatizado"),"Ti ","")&amp;IF(E57="","Ta ","")&amp;IF(F57="","Mn ","")&amp;IF(G57="","F ",""))</f>
        <v/>
      </c>
    </row>
    <row r="58">
      <c r="A58" s="6" t="inlineStr">
        <is>
          <t>TC53</t>
        </is>
      </c>
      <c r="B58" s="6" t="inlineStr">
        <is>
          <t>Integração de componentes</t>
        </is>
      </c>
      <c r="C58" s="7" t="n"/>
      <c r="D58" s="8" t="n"/>
      <c r="E58" s="9" t="n">
        <v>0.024</v>
      </c>
      <c r="F58" s="7" t="n"/>
      <c r="G58" s="10" t="n"/>
      <c r="H58" s="11">
        <f>IF(R58&lt;&gt;"","Falta preencher: "&amp;R58,IF(G58&lt;=0,"F precisa ser maior que 0",IF(L58="Automatizado",IF(I58&gt;0,"Sim (manter)","Não (aposentar e voltar ao manual)"),IF(I58&lt;=0,"Não",IF($D$3="","Sim, se faltarem pelo menos "&amp;FIXED(K58,1)&amp;" meses",IF(J58&lt;=G58*$D$3,"Sim","Não"))))))</f>
        <v/>
      </c>
      <c r="I58" s="12">
        <f>IF(R58&lt;&gt;"","",IF(G58&lt;=0,"",C58-E58/60-F58/G58))</f>
        <v/>
      </c>
      <c r="J58" s="13">
        <f>IF(OR(I58="",D58=""),"",IF(I58&lt;=0,"nunca",ROUNDUP(D58/I58,0)))</f>
        <v/>
      </c>
      <c r="K58" s="12">
        <f>IF(OR(J58="",J58="nunca"),"",J58/G58)</f>
        <v/>
      </c>
      <c r="L58" s="14" t="inlineStr">
        <is>
          <t>Automatizado</t>
        </is>
      </c>
      <c r="M58" s="15" t="inlineStr">
        <is>
          <t>Listar a fila geral para gestor sem vínculo com órgão.</t>
        </is>
      </c>
      <c r="N58" s="6" t="inlineStr">
        <is>
          <t>HU-06 Visualizar e filtrar demandas</t>
        </is>
      </c>
      <c r="O58" s="15" t="inlineStr">
        <is>
          <t>tests/acceptance/02_demands.test.ts › CT-DEM-08</t>
        </is>
      </c>
      <c r="P58" s="14" t="n"/>
      <c r="Q58" s="15" t="inlineStr"/>
      <c r="R58" s="13">
        <f>TRIM(IF(C58="","Tm ","")&amp;IF(AND(D58="",L58&lt;&gt;"Automatizado"),"Ti ","")&amp;IF(E58="","Ta ","")&amp;IF(F58="","Mn ","")&amp;IF(G58="","F ",""))</f>
        <v/>
      </c>
    </row>
    <row r="59">
      <c r="A59" s="6" t="inlineStr">
        <is>
          <t>TC54</t>
        </is>
      </c>
      <c r="B59" s="6" t="inlineStr">
        <is>
          <t>Integração de componentes</t>
        </is>
      </c>
      <c r="C59" s="7" t="n"/>
      <c r="D59" s="10" t="n"/>
      <c r="E59" s="9" t="n">
        <v>0.024</v>
      </c>
      <c r="F59" s="7" t="n"/>
      <c r="G59" s="10" t="n"/>
      <c r="H59" s="11">
        <f>IF(R59&lt;&gt;"","Falta preencher: "&amp;R59,IF(G59&lt;=0,"F precisa ser maior que 0",IF(L59="Automatizado",IF(I59&gt;0,"Sim (manter)","Não (aposentar e voltar ao manual)"),IF(I59&lt;=0,"Não",IF($D$3="","Sim, se faltarem pelo menos "&amp;FIXED(K59,1)&amp;" meses",IF(J59&lt;=G59*$D$3,"Sim","Não"))))))</f>
        <v/>
      </c>
      <c r="I59" s="12">
        <f>IF(R59&lt;&gt;"","",IF(G59&lt;=0,"",C59-E59/60-F59/G59))</f>
        <v/>
      </c>
      <c r="J59" s="13">
        <f>IF(OR(I59="",D59=""),"",IF(I59&lt;=0,"nunca",ROUNDUP(D59/I59,0)))</f>
        <v/>
      </c>
      <c r="K59" s="12">
        <f>IF(OR(J59="",J59="nunca"),"",J59/G59)</f>
        <v/>
      </c>
      <c r="L59" s="14" t="inlineStr">
        <is>
          <t>Não automatizado</t>
        </is>
      </c>
      <c r="M59" s="15" t="inlineStr">
        <is>
          <t>Listar para gestor vinculado só as demandas do seu órgão.</t>
        </is>
      </c>
      <c r="N59" s="6" t="inlineStr">
        <is>
          <t>HU-06 Visualizar e filtrar demandas</t>
        </is>
      </c>
      <c r="O59" s="15" t="inlineStr"/>
      <c r="P59" s="14" t="n"/>
      <c r="Q59" s="15" t="inlineStr"/>
      <c r="R59" s="13">
        <f>TRIM(IF(C59="","Tm ","")&amp;IF(AND(D59="",L59&lt;&gt;"Automatizado"),"Ti ","")&amp;IF(E59="","Ta ","")&amp;IF(F59="","Mn ","")&amp;IF(G59="","F ",""))</f>
        <v/>
      </c>
    </row>
    <row r="60">
      <c r="A60" s="6" t="inlineStr">
        <is>
          <t>TC55</t>
        </is>
      </c>
      <c r="B60" s="6" t="inlineStr">
        <is>
          <t>Integração de componentes</t>
        </is>
      </c>
      <c r="C60" s="7" t="n"/>
      <c r="D60" s="8" t="n"/>
      <c r="E60" s="9" t="n">
        <v>0.015</v>
      </c>
      <c r="F60" s="7" t="n"/>
      <c r="G60" s="10" t="n"/>
      <c r="H60" s="11">
        <f>IF(R60&lt;&gt;"","Falta preencher: "&amp;R60,IF(G60&lt;=0,"F precisa ser maior que 0",IF(L60="Automatizado",IF(I60&gt;0,"Sim (manter)","Não (aposentar e voltar ao manual)"),IF(I60&lt;=0,"Não",IF($D$3="","Sim, se faltarem pelo menos "&amp;FIXED(K60,1)&amp;" meses",IF(J60&lt;=G60*$D$3,"Sim","Não"))))))</f>
        <v/>
      </c>
      <c r="I60" s="12">
        <f>IF(R60&lt;&gt;"","",IF(G60&lt;=0,"",C60-E60/60-F60/G60))</f>
        <v/>
      </c>
      <c r="J60" s="13">
        <f>IF(OR(I60="",D60=""),"",IF(I60&lt;=0,"nunca",ROUNDUP(D60/I60,0)))</f>
        <v/>
      </c>
      <c r="K60" s="12">
        <f>IF(OR(J60="",J60="nunca"),"",J60/G60)</f>
        <v/>
      </c>
      <c r="L60" s="14" t="inlineStr">
        <is>
          <t>Automatizado</t>
        </is>
      </c>
      <c r="M60" s="15" t="inlineStr">
        <is>
          <t>Filtrar demandas por status.</t>
        </is>
      </c>
      <c r="N60" s="6" t="inlineStr">
        <is>
          <t>HU-06 Visualizar e filtrar demandas</t>
        </is>
      </c>
      <c r="O60" s="15" t="inlineStr">
        <is>
          <t>tests/acceptance/02_demands.test.ts › CT-DEM-09</t>
        </is>
      </c>
      <c r="P60" s="14" t="n"/>
      <c r="Q60" s="15" t="inlineStr"/>
      <c r="R60" s="13">
        <f>TRIM(IF(C60="","Tm ","")&amp;IF(AND(D60="",L60&lt;&gt;"Automatizado"),"Ti ","")&amp;IF(E60="","Ta ","")&amp;IF(F60="","Mn ","")&amp;IF(G60="","F ",""))</f>
        <v/>
      </c>
    </row>
    <row r="61">
      <c r="A61" s="6" t="inlineStr">
        <is>
          <t>TC56</t>
        </is>
      </c>
      <c r="B61" s="6" t="inlineStr">
        <is>
          <t>Integração de componentes</t>
        </is>
      </c>
      <c r="C61" s="7" t="n"/>
      <c r="D61" s="8" t="n"/>
      <c r="E61" s="9" t="n">
        <v>0.014</v>
      </c>
      <c r="F61" s="7" t="n"/>
      <c r="G61" s="10" t="n"/>
      <c r="H61" s="11">
        <f>IF(R61&lt;&gt;"","Falta preencher: "&amp;R61,IF(G61&lt;=0,"F precisa ser maior que 0",IF(L61="Automatizado",IF(I61&gt;0,"Sim (manter)","Não (aposentar e voltar ao manual)"),IF(I61&lt;=0,"Não",IF($D$3="","Sim, se faltarem pelo menos "&amp;FIXED(K61,1)&amp;" meses",IF(J61&lt;=G61*$D$3,"Sim","Não"))))))</f>
        <v/>
      </c>
      <c r="I61" s="12">
        <f>IF(R61&lt;&gt;"","",IF(G61&lt;=0,"",C61-E61/60-F61/G61))</f>
        <v/>
      </c>
      <c r="J61" s="13">
        <f>IF(OR(I61="",D61=""),"",IF(I61&lt;=0,"nunca",ROUNDUP(D61/I61,0)))</f>
        <v/>
      </c>
      <c r="K61" s="12">
        <f>IF(OR(J61="",J61="nunca"),"",J61/G61)</f>
        <v/>
      </c>
      <c r="L61" s="14" t="inlineStr">
        <is>
          <t>Automatizado</t>
        </is>
      </c>
      <c r="M61" s="15" t="inlineStr">
        <is>
          <t>Filtrar demandas por categoria.</t>
        </is>
      </c>
      <c r="N61" s="6" t="inlineStr">
        <is>
          <t>HU-06 Visualizar e filtrar demandas</t>
        </is>
      </c>
      <c r="O61" s="15" t="inlineStr">
        <is>
          <t>tests/acceptance/02_demands.test.ts › CT-DEM-10</t>
        </is>
      </c>
      <c r="P61" s="14" t="n"/>
      <c r="Q61" s="15" t="inlineStr"/>
      <c r="R61" s="13">
        <f>TRIM(IF(C61="","Tm ","")&amp;IF(AND(D61="",L61&lt;&gt;"Automatizado"),"Ti ","")&amp;IF(E61="","Ta ","")&amp;IF(F61="","Mn ","")&amp;IF(G61="","F ",""))</f>
        <v/>
      </c>
    </row>
    <row r="62">
      <c r="A62" s="6" t="inlineStr">
        <is>
          <t>TC57</t>
        </is>
      </c>
      <c r="B62" s="6" t="inlineStr">
        <is>
          <t>Integração de componentes</t>
        </is>
      </c>
      <c r="C62" s="7" t="n"/>
      <c r="D62" s="10" t="n"/>
      <c r="E62" s="9" t="n">
        <v>0.024</v>
      </c>
      <c r="F62" s="7" t="n"/>
      <c r="G62" s="10" t="n"/>
      <c r="H62" s="11">
        <f>IF(R62&lt;&gt;"","Falta preencher: "&amp;R62,IF(G62&lt;=0,"F precisa ser maior que 0",IF(L62="Automatizado",IF(I62&gt;0,"Sim (manter)","Não (aposentar e voltar ao manual)"),IF(I62&lt;=0,"Não",IF($D$3="","Sim, se faltarem pelo menos "&amp;FIXED(K62,1)&amp;" meses",IF(J62&lt;=G62*$D$3,"Sim","Não"))))))</f>
        <v/>
      </c>
      <c r="I62" s="12">
        <f>IF(R62&lt;&gt;"","",IF(G62&lt;=0,"",C62-E62/60-F62/G62))</f>
        <v/>
      </c>
      <c r="J62" s="13">
        <f>IF(OR(I62="",D62=""),"",IF(I62&lt;=0,"nunca",ROUNDUP(D62/I62,0)))</f>
        <v/>
      </c>
      <c r="K62" s="12">
        <f>IF(OR(J62="",J62="nunca"),"",J62/G62)</f>
        <v/>
      </c>
      <c r="L62" s="14" t="inlineStr">
        <is>
          <t>Não automatizado</t>
        </is>
      </c>
      <c r="M62" s="15" t="inlineStr">
        <is>
          <t>Filtrar demandas por prioridade.</t>
        </is>
      </c>
      <c r="N62" s="6" t="inlineStr">
        <is>
          <t>HU-06 Visualizar e filtrar demandas</t>
        </is>
      </c>
      <c r="O62" s="15" t="inlineStr"/>
      <c r="P62" s="14" t="n"/>
      <c r="Q62" s="15" t="inlineStr"/>
      <c r="R62" s="13">
        <f>TRIM(IF(C62="","Tm ","")&amp;IF(AND(D62="",L62&lt;&gt;"Automatizado"),"Ti ","")&amp;IF(E62="","Ta ","")&amp;IF(F62="","Mn ","")&amp;IF(G62="","F ",""))</f>
        <v/>
      </c>
    </row>
    <row r="63">
      <c r="A63" s="6" t="inlineStr">
        <is>
          <t>TC58</t>
        </is>
      </c>
      <c r="B63" s="6" t="inlineStr">
        <is>
          <t>Integração de componentes</t>
        </is>
      </c>
      <c r="C63" s="7" t="n"/>
      <c r="D63" s="10" t="n"/>
      <c r="E63" s="9" t="n">
        <v>0.024</v>
      </c>
      <c r="F63" s="7" t="n"/>
      <c r="G63" s="10" t="n"/>
      <c r="H63" s="11">
        <f>IF(R63&lt;&gt;"","Falta preencher: "&amp;R63,IF(G63&lt;=0,"F precisa ser maior que 0",IF(L63="Automatizado",IF(I63&gt;0,"Sim (manter)","Não (aposentar e voltar ao manual)"),IF(I63&lt;=0,"Não",IF($D$3="","Sim, se faltarem pelo menos "&amp;FIXED(K63,1)&amp;" meses",IF(J63&lt;=G63*$D$3,"Sim","Não"))))))</f>
        <v/>
      </c>
      <c r="I63" s="12">
        <f>IF(R63&lt;&gt;"","",IF(G63&lt;=0,"",C63-E63/60-F63/G63))</f>
        <v/>
      </c>
      <c r="J63" s="13">
        <f>IF(OR(I63="",D63=""),"",IF(I63&lt;=0,"nunca",ROUNDUP(D63/I63,0)))</f>
        <v/>
      </c>
      <c r="K63" s="12">
        <f>IF(OR(J63="",J63="nunca"),"",J63/G63)</f>
        <v/>
      </c>
      <c r="L63" s="14" t="inlineStr">
        <is>
          <t>Não automatizado</t>
        </is>
      </c>
      <c r="M63" s="15" t="inlineStr">
        <is>
          <t>Filtrar demandas por bairro.</t>
        </is>
      </c>
      <c r="N63" s="6" t="inlineStr">
        <is>
          <t>HU-06 Visualizar e filtrar demandas</t>
        </is>
      </c>
      <c r="O63" s="15" t="inlineStr"/>
      <c r="P63" s="14" t="n"/>
      <c r="Q63" s="15" t="inlineStr"/>
      <c r="R63" s="13">
        <f>TRIM(IF(C63="","Tm ","")&amp;IF(AND(D63="",L63&lt;&gt;"Automatizado"),"Ti ","")&amp;IF(E63="","Ta ","")&amp;IF(F63="","Mn ","")&amp;IF(G63="","F ",""))</f>
        <v/>
      </c>
    </row>
    <row r="64">
      <c r="A64" s="6" t="inlineStr">
        <is>
          <t>TC59</t>
        </is>
      </c>
      <c r="B64" s="6" t="inlineStr">
        <is>
          <t>Integração de componentes</t>
        </is>
      </c>
      <c r="C64" s="7" t="n"/>
      <c r="D64" s="8" t="n"/>
      <c r="E64" s="9" t="n">
        <v>0.017</v>
      </c>
      <c r="F64" s="7" t="n"/>
      <c r="G64" s="10" t="n"/>
      <c r="H64" s="11">
        <f>IF(R64&lt;&gt;"","Falta preencher: "&amp;R64,IF(G64&lt;=0,"F precisa ser maior que 0",IF(L64="Automatizado",IF(I64&gt;0,"Sim (manter)","Não (aposentar e voltar ao manual)"),IF(I64&lt;=0,"Não",IF($D$3="","Sim, se faltarem pelo menos "&amp;FIXED(K64,1)&amp;" meses",IF(J64&lt;=G64*$D$3,"Sim","Não"))))))</f>
        <v/>
      </c>
      <c r="I64" s="12">
        <f>IF(R64&lt;&gt;"","",IF(G64&lt;=0,"",C64-E64/60-F64/G64))</f>
        <v/>
      </c>
      <c r="J64" s="13">
        <f>IF(OR(I64="",D64=""),"",IF(I64&lt;=0,"nunca",ROUNDUP(D64/I64,0)))</f>
        <v/>
      </c>
      <c r="K64" s="12">
        <f>IF(OR(J64="",J64="nunca"),"",J64/G64)</f>
        <v/>
      </c>
      <c r="L64" s="14" t="inlineStr">
        <is>
          <t>Automatizado</t>
        </is>
      </c>
      <c r="M64" s="15" t="inlineStr">
        <is>
          <t>Filtrar demandas por texto em busca.</t>
        </is>
      </c>
      <c r="N64" s="6" t="inlineStr">
        <is>
          <t>HU-06 Visualizar e filtrar demandas</t>
        </is>
      </c>
      <c r="O64" s="15" t="inlineStr">
        <is>
          <t>tests/acceptance/02_demands.test.ts › CT-DEM-11</t>
        </is>
      </c>
      <c r="P64" s="14" t="n"/>
      <c r="Q64" s="15" t="inlineStr"/>
      <c r="R64" s="13">
        <f>TRIM(IF(C64="","Tm ","")&amp;IF(AND(D64="",L64&lt;&gt;"Automatizado"),"Ti ","")&amp;IF(E64="","Ta ","")&amp;IF(F64="","Mn ","")&amp;IF(G64="","F ",""))</f>
        <v/>
      </c>
    </row>
    <row r="65">
      <c r="A65" s="6" t="inlineStr">
        <is>
          <t>TC60</t>
        </is>
      </c>
      <c r="B65" s="6" t="inlineStr">
        <is>
          <t>Integração de componentes</t>
        </is>
      </c>
      <c r="C65" s="7" t="n"/>
      <c r="D65" s="10" t="n"/>
      <c r="E65" s="9" t="n">
        <v>0.024</v>
      </c>
      <c r="F65" s="7" t="n"/>
      <c r="G65" s="10" t="n"/>
      <c r="H65" s="11">
        <f>IF(R65&lt;&gt;"","Falta preencher: "&amp;R65,IF(G65&lt;=0,"F precisa ser maior que 0",IF(L65="Automatizado",IF(I65&gt;0,"Sim (manter)","Não (aposentar e voltar ao manual)"),IF(I65&lt;=0,"Não",IF($D$3="","Sim, se faltarem pelo menos "&amp;FIXED(K65,1)&amp;" meses",IF(J65&lt;=G65*$D$3,"Sim","Não"))))))</f>
        <v/>
      </c>
      <c r="I65" s="12">
        <f>IF(R65&lt;&gt;"","",IF(G65&lt;=0,"",C65-E65/60-F65/G65))</f>
        <v/>
      </c>
      <c r="J65" s="13">
        <f>IF(OR(I65="",D65=""),"",IF(I65&lt;=0,"nunca",ROUNDUP(D65/I65,0)))</f>
        <v/>
      </c>
      <c r="K65" s="12">
        <f>IF(OR(J65="",J65="nunca"),"",J65/G65)</f>
        <v/>
      </c>
      <c r="L65" s="14" t="inlineStr">
        <is>
          <t>Não automatizado</t>
        </is>
      </c>
      <c r="M65" s="15" t="inlineStr">
        <is>
          <t>Combinar filtros status e categoria.</t>
        </is>
      </c>
      <c r="N65" s="6" t="inlineStr">
        <is>
          <t>HU-06 Visualizar e filtrar demandas</t>
        </is>
      </c>
      <c r="O65" s="15" t="inlineStr"/>
      <c r="P65" s="14" t="n"/>
      <c r="Q65" s="15" t="inlineStr"/>
      <c r="R65" s="13">
        <f>TRIM(IF(C65="","Tm ","")&amp;IF(AND(D65="",L65&lt;&gt;"Automatizado"),"Ti ","")&amp;IF(E65="","Ta ","")&amp;IF(F65="","Mn ","")&amp;IF(G65="","F ",""))</f>
        <v/>
      </c>
    </row>
    <row r="66">
      <c r="A66" s="6" t="inlineStr">
        <is>
          <t>TC61</t>
        </is>
      </c>
      <c r="B66" s="6" t="inlineStr">
        <is>
          <t>Integração de componentes</t>
        </is>
      </c>
      <c r="C66" s="7" t="n"/>
      <c r="D66" s="10" t="n"/>
      <c r="E66" s="9" t="n">
        <v>0.024</v>
      </c>
      <c r="F66" s="7" t="n"/>
      <c r="G66" s="10" t="n"/>
      <c r="H66" s="11">
        <f>IF(R66&lt;&gt;"","Falta preencher: "&amp;R66,IF(G66&lt;=0,"F precisa ser maior que 0",IF(L66="Automatizado",IF(I66&gt;0,"Sim (manter)","Não (aposentar e voltar ao manual)"),IF(I66&lt;=0,"Não",IF($D$3="","Sim, se faltarem pelo menos "&amp;FIXED(K66,1)&amp;" meses",IF(J66&lt;=G66*$D$3,"Sim","Não"))))))</f>
        <v/>
      </c>
      <c r="I66" s="12">
        <f>IF(R66&lt;&gt;"","",IF(G66&lt;=0,"",C66-E66/60-F66/G66))</f>
        <v/>
      </c>
      <c r="J66" s="13">
        <f>IF(OR(I66="",D66=""),"",IF(I66&lt;=0,"nunca",ROUNDUP(D66/I66,0)))</f>
        <v/>
      </c>
      <c r="K66" s="12">
        <f>IF(OR(J66="",J66="nunca"),"",J66/G66)</f>
        <v/>
      </c>
      <c r="L66" s="14" t="inlineStr">
        <is>
          <t>Não automatizado</t>
        </is>
      </c>
      <c r="M66" s="15" t="inlineStr">
        <is>
          <t>Recusar filtro com status fora do enum.</t>
        </is>
      </c>
      <c r="N66" s="6" t="inlineStr">
        <is>
          <t>HU-06 Visualizar e filtrar demandas</t>
        </is>
      </c>
      <c r="O66" s="15" t="inlineStr"/>
      <c r="P66" s="14" t="n"/>
      <c r="Q66" s="15" t="inlineStr"/>
      <c r="R66" s="13">
        <f>TRIM(IF(C66="","Tm ","")&amp;IF(AND(D66="",L66&lt;&gt;"Automatizado"),"Ti ","")&amp;IF(E66="","Ta ","")&amp;IF(F66="","Mn ","")&amp;IF(G66="","F ",""))</f>
        <v/>
      </c>
    </row>
    <row r="67">
      <c r="A67" s="6" t="inlineStr">
        <is>
          <t>TC62</t>
        </is>
      </c>
      <c r="B67" s="6" t="inlineStr">
        <is>
          <t>Sistema</t>
        </is>
      </c>
      <c r="C67" s="7" t="n"/>
      <c r="D67" s="10" t="n"/>
      <c r="E67" s="9" t="n">
        <v>2.706</v>
      </c>
      <c r="F67" s="7" t="n"/>
      <c r="G67" s="10" t="n"/>
      <c r="H67" s="11">
        <f>IF(R67&lt;&gt;"","Falta preencher: "&amp;R67,IF(G67&lt;=0,"F precisa ser maior que 0",IF(L67="Automatizado",IF(I67&gt;0,"Sim (manter)","Não (aposentar e voltar ao manual)"),IF(I67&lt;=0,"Não",IF($D$3="","Sim, se faltarem pelo menos "&amp;FIXED(K67,1)&amp;" meses",IF(J67&lt;=G67*$D$3,"Sim","Não"))))))</f>
        <v/>
      </c>
      <c r="I67" s="12">
        <f>IF(R67&lt;&gt;"","",IF(G67&lt;=0,"",C67-E67/60-F67/G67))</f>
        <v/>
      </c>
      <c r="J67" s="13">
        <f>IF(OR(I67="",D67=""),"",IF(I67&lt;=0,"nunca",ROUNDUP(D67/I67,0)))</f>
        <v/>
      </c>
      <c r="K67" s="12">
        <f>IF(OR(J67="",J67="nunca"),"",J67/G67)</f>
        <v/>
      </c>
      <c r="L67" s="14" t="inlineStr">
        <is>
          <t>Não automatizado</t>
        </is>
      </c>
      <c r="M67" s="15" t="inlineStr">
        <is>
          <t>Aplicar filtro de status na tela de listagem.</t>
        </is>
      </c>
      <c r="N67" s="6" t="inlineStr">
        <is>
          <t>HU-06 Visualizar e filtrar demandas</t>
        </is>
      </c>
      <c r="O67" s="15" t="inlineStr"/>
      <c r="P67" s="14" t="n"/>
      <c r="Q67" s="15" t="inlineStr">
        <is>
          <t>buscar-demandas.spec.ts testa busca por texto, não o filtro de status.</t>
        </is>
      </c>
      <c r="R67" s="13">
        <f>TRIM(IF(C67="","Tm ","")&amp;IF(AND(D67="",L67&lt;&gt;"Automatizado"),"Ti ","")&amp;IF(E67="","Ta ","")&amp;IF(F67="","Mn ","")&amp;IF(G67="","F ",""))</f>
        <v/>
      </c>
    </row>
    <row r="68">
      <c r="A68" s="6" t="inlineStr">
        <is>
          <t>TC63</t>
        </is>
      </c>
      <c r="B68" s="6" t="inlineStr">
        <is>
          <t>Sistema</t>
        </is>
      </c>
      <c r="C68" s="7" t="n"/>
      <c r="D68" s="10" t="n"/>
      <c r="E68" s="9" t="n">
        <v>2.706</v>
      </c>
      <c r="F68" s="7" t="n"/>
      <c r="G68" s="10" t="n"/>
      <c r="H68" s="11">
        <f>IF(R68&lt;&gt;"","Falta preencher: "&amp;R68,IF(G68&lt;=0,"F precisa ser maior que 0",IF(L68="Automatizado",IF(I68&gt;0,"Sim (manter)","Não (aposentar e voltar ao manual)"),IF(I68&lt;=0,"Não",IF($D$3="","Sim, se faltarem pelo menos "&amp;FIXED(K68,1)&amp;" meses",IF(J68&lt;=G68*$D$3,"Sim","Não"))))))</f>
        <v/>
      </c>
      <c r="I68" s="12">
        <f>IF(R68&lt;&gt;"","",IF(G68&lt;=0,"",C68-E68/60-F68/G68))</f>
        <v/>
      </c>
      <c r="J68" s="13">
        <f>IF(OR(I68="",D68=""),"",IF(I68&lt;=0,"nunca",ROUNDUP(D68/I68,0)))</f>
        <v/>
      </c>
      <c r="K68" s="12">
        <f>IF(OR(J68="",J68="nunca"),"",J68/G68)</f>
        <v/>
      </c>
      <c r="L68" s="14" t="inlineStr">
        <is>
          <t>Não automatizado</t>
        </is>
      </c>
      <c r="M68" s="15" t="inlineStr">
        <is>
          <t>Exibir estado vazio na listagem de cidadão sem demandas.</t>
        </is>
      </c>
      <c r="N68" s="6" t="inlineStr">
        <is>
          <t>HU-06 Visualizar e filtrar demandas</t>
        </is>
      </c>
      <c r="O68" s="15" t="inlineStr"/>
      <c r="P68" s="14" t="n"/>
      <c r="Q68" s="15" t="inlineStr"/>
      <c r="R68" s="13">
        <f>TRIM(IF(C68="","Tm ","")&amp;IF(AND(D68="",L68&lt;&gt;"Automatizado"),"Ti ","")&amp;IF(E68="","Ta ","")&amp;IF(F68="","Mn ","")&amp;IF(G68="","F ",""))</f>
        <v/>
      </c>
    </row>
    <row r="69">
      <c r="A69" s="6" t="inlineStr">
        <is>
          <t>TC64</t>
        </is>
      </c>
      <c r="B69" s="6" t="inlineStr">
        <is>
          <t>Sistema</t>
        </is>
      </c>
      <c r="C69" s="7" t="n"/>
      <c r="D69" s="10" t="n"/>
      <c r="E69" s="9" t="n">
        <v>2.706</v>
      </c>
      <c r="F69" s="7" t="n"/>
      <c r="G69" s="10" t="n"/>
      <c r="H69" s="11">
        <f>IF(R69&lt;&gt;"","Falta preencher: "&amp;R69,IF(G69&lt;=0,"F precisa ser maior que 0",IF(L69="Automatizado",IF(I69&gt;0,"Sim (manter)","Não (aposentar e voltar ao manual)"),IF(I69&lt;=0,"Não",IF($D$3="","Sim, se faltarem pelo menos "&amp;FIXED(K69,1)&amp;" meses",IF(J69&lt;=G69*$D$3,"Sim","Não"))))))</f>
        <v/>
      </c>
      <c r="I69" s="12">
        <f>IF(R69&lt;&gt;"","",IF(G69&lt;=0,"",C69-E69/60-F69/G69))</f>
        <v/>
      </c>
      <c r="J69" s="13">
        <f>IF(OR(I69="",D69=""),"",IF(I69&lt;=0,"nunca",ROUNDUP(D69/I69,0)))</f>
        <v/>
      </c>
      <c r="K69" s="12">
        <f>IF(OR(J69="",J69="nunca"),"",J69/G69)</f>
        <v/>
      </c>
      <c r="L69" s="14" t="inlineStr">
        <is>
          <t>Não automatizado</t>
        </is>
      </c>
      <c r="M69" s="15" t="inlineStr">
        <is>
          <t>Exibir estado de erro na listagem quando a API está indisponível.</t>
        </is>
      </c>
      <c r="N69" s="6" t="inlineStr">
        <is>
          <t>HU-06 Visualizar e filtrar demandas</t>
        </is>
      </c>
      <c r="O69" s="15" t="inlineStr"/>
      <c r="P69" s="14" t="n"/>
      <c r="Q69" s="15" t="inlineStr"/>
      <c r="R69" s="13">
        <f>TRIM(IF(C69="","Tm ","")&amp;IF(AND(D69="",L69&lt;&gt;"Automatizado"),"Ti ","")&amp;IF(E69="","Ta ","")&amp;IF(F69="","Mn ","")&amp;IF(G69="","F ",""))</f>
        <v/>
      </c>
    </row>
    <row r="70">
      <c r="A70" s="6" t="inlineStr">
        <is>
          <t>TC65</t>
        </is>
      </c>
      <c r="B70" s="6" t="inlineStr">
        <is>
          <t>Componente</t>
        </is>
      </c>
      <c r="C70" s="7" t="n"/>
      <c r="D70" s="10" t="n"/>
      <c r="E70" s="9" t="n">
        <v>0.013</v>
      </c>
      <c r="F70" s="7" t="n"/>
      <c r="G70" s="10" t="n"/>
      <c r="H70" s="11">
        <f>IF(R70&lt;&gt;"","Falta preencher: "&amp;R70,IF(G70&lt;=0,"F precisa ser maior que 0",IF(L70="Automatizado",IF(I70&gt;0,"Sim (manter)","Não (aposentar e voltar ao manual)"),IF(I70&lt;=0,"Não",IF($D$3="","Sim, se faltarem pelo menos "&amp;FIXED(K70,1)&amp;" meses",IF(J70&lt;=G70*$D$3,"Sim","Não"))))))</f>
        <v/>
      </c>
      <c r="I70" s="12">
        <f>IF(R70&lt;&gt;"","",IF(G70&lt;=0,"",C70-E70/60-F70/G70))</f>
        <v/>
      </c>
      <c r="J70" s="13">
        <f>IF(OR(I70="",D70=""),"",IF(I70&lt;=0,"nunca",ROUNDUP(D70/I70,0)))</f>
        <v/>
      </c>
      <c r="K70" s="12">
        <f>IF(OR(J70="",J70="nunca"),"",J70/G70)</f>
        <v/>
      </c>
      <c r="L70" s="14" t="inlineStr">
        <is>
          <t>Não automatizado</t>
        </is>
      </c>
      <c r="M70" s="15" t="inlineStr">
        <is>
          <t>Expor estado de carregamento enquanto a listagem está pendente.</t>
        </is>
      </c>
      <c r="N70" s="6" t="inlineStr">
        <is>
          <t>HU-06 Visualizar e filtrar demandas</t>
        </is>
      </c>
      <c r="O70" s="15" t="inlineStr"/>
      <c r="P70" s="14" t="n"/>
      <c r="Q70" s="15" t="inlineStr"/>
      <c r="R70" s="13">
        <f>TRIM(IF(C70="","Tm ","")&amp;IF(AND(D70="",L70&lt;&gt;"Automatizado"),"Ti ","")&amp;IF(E70="","Ta ","")&amp;IF(F70="","Mn ","")&amp;IF(G70="","F ",""))</f>
        <v/>
      </c>
    </row>
    <row r="71">
      <c r="A71" s="6" t="inlineStr">
        <is>
          <t>TC66</t>
        </is>
      </c>
      <c r="B71" s="6" t="inlineStr">
        <is>
          <t>Integração de componentes</t>
        </is>
      </c>
      <c r="C71" s="7" t="n"/>
      <c r="D71" s="8" t="n"/>
      <c r="E71" s="9" t="n">
        <v>0.014</v>
      </c>
      <c r="F71" s="7" t="n"/>
      <c r="G71" s="10" t="n"/>
      <c r="H71" s="11">
        <f>IF(R71&lt;&gt;"","Falta preencher: "&amp;R71,IF(G71&lt;=0,"F precisa ser maior que 0",IF(L71="Automatizado",IF(I71&gt;0,"Sim (manter)","Não (aposentar e voltar ao manual)"),IF(I71&lt;=0,"Não",IF($D$3="","Sim, se faltarem pelo menos "&amp;FIXED(K71,1)&amp;" meses",IF(J71&lt;=G71*$D$3,"Sim","Não"))))))</f>
        <v/>
      </c>
      <c r="I71" s="12">
        <f>IF(R71&lt;&gt;"","",IF(G71&lt;=0,"",C71-E71/60-F71/G71))</f>
        <v/>
      </c>
      <c r="J71" s="13">
        <f>IF(OR(I71="",D71=""),"",IF(I71&lt;=0,"nunca",ROUNDUP(D71/I71,0)))</f>
        <v/>
      </c>
      <c r="K71" s="12">
        <f>IF(OR(J71="",J71="nunca"),"",J71/G71)</f>
        <v/>
      </c>
      <c r="L71" s="14" t="inlineStr">
        <is>
          <t>Automatizado</t>
        </is>
      </c>
      <c r="M71" s="15" t="inlineStr">
        <is>
          <t>Consultar detalhe de demanda própria.</t>
        </is>
      </c>
      <c r="N71" s="6" t="inlineStr">
        <is>
          <t>HU-04 Acompanhar status e histórico</t>
        </is>
      </c>
      <c r="O71" s="15" t="inlineStr">
        <is>
          <t>tests/acceptance/02_demands.test.ts › CT-DEM-13</t>
        </is>
      </c>
      <c r="P71" s="14" t="n"/>
      <c r="Q71" s="15" t="inlineStr"/>
      <c r="R71" s="13">
        <f>TRIM(IF(C71="","Tm ","")&amp;IF(AND(D71="",L71&lt;&gt;"Automatizado"),"Ti ","")&amp;IF(E71="","Ta ","")&amp;IF(F71="","Mn ","")&amp;IF(G71="","F ",""))</f>
        <v/>
      </c>
    </row>
    <row r="72">
      <c r="A72" s="6" t="inlineStr">
        <is>
          <t>TC67</t>
        </is>
      </c>
      <c r="B72" s="6" t="inlineStr">
        <is>
          <t>Integração de componentes</t>
        </is>
      </c>
      <c r="C72" s="7" t="n"/>
      <c r="D72" s="8" t="n"/>
      <c r="E72" s="9" t="n">
        <v>0.202</v>
      </c>
      <c r="F72" s="7" t="n"/>
      <c r="G72" s="10" t="n"/>
      <c r="H72" s="11">
        <f>IF(R72&lt;&gt;"","Falta preencher: "&amp;R72,IF(G72&lt;=0,"F precisa ser maior que 0",IF(L72="Automatizado",IF(I72&gt;0,"Sim (manter)","Não (aposentar e voltar ao manual)"),IF(I72&lt;=0,"Não",IF($D$3="","Sim, se faltarem pelo menos "&amp;FIXED(K72,1)&amp;" meses",IF(J72&lt;=G72*$D$3,"Sim","Não"))))))</f>
        <v/>
      </c>
      <c r="I72" s="12">
        <f>IF(R72&lt;&gt;"","",IF(G72&lt;=0,"",C72-E72/60-F72/G72))</f>
        <v/>
      </c>
      <c r="J72" s="13">
        <f>IF(OR(I72="",D72=""),"",IF(I72&lt;=0,"nunca",ROUNDUP(D72/I72,0)))</f>
        <v/>
      </c>
      <c r="K72" s="12">
        <f>IF(OR(J72="",J72="nunca"),"",J72/G72)</f>
        <v/>
      </c>
      <c r="L72" s="14" t="inlineStr">
        <is>
          <t>Automatizado</t>
        </is>
      </c>
      <c r="M72" s="15" t="inlineStr">
        <is>
          <t>Recusar ao cidadão o detalhe de demanda de outra pessoa.</t>
        </is>
      </c>
      <c r="N72" s="6" t="inlineStr">
        <is>
          <t>HU-04 Acompanhar status e histórico</t>
        </is>
      </c>
      <c r="O72" s="15" t="inlineStr">
        <is>
          <t>tests/acceptance/02_demands.test.ts › CT-DEM-14</t>
        </is>
      </c>
      <c r="P72" s="14" t="n"/>
      <c r="Q72" s="15" t="inlineStr"/>
      <c r="R72" s="13">
        <f>TRIM(IF(C72="","Tm ","")&amp;IF(AND(D72="",L72&lt;&gt;"Automatizado"),"Ti ","")&amp;IF(E72="","Ta ","")&amp;IF(F72="","Mn ","")&amp;IF(G72="","F ",""))</f>
        <v/>
      </c>
    </row>
    <row r="73">
      <c r="A73" s="6" t="inlineStr">
        <is>
          <t>TC68</t>
        </is>
      </c>
      <c r="B73" s="6" t="inlineStr">
        <is>
          <t>Integração de componentes</t>
        </is>
      </c>
      <c r="C73" s="7" t="n"/>
      <c r="D73" s="8" t="n"/>
      <c r="E73" s="9" t="n">
        <v>0.029</v>
      </c>
      <c r="F73" s="7" t="n"/>
      <c r="G73" s="10" t="n"/>
      <c r="H73" s="11">
        <f>IF(R73&lt;&gt;"","Falta preencher: "&amp;R73,IF(G73&lt;=0,"F precisa ser maior que 0",IF(L73="Automatizado",IF(I73&gt;0,"Sim (manter)","Não (aposentar e voltar ao manual)"),IF(I73&lt;=0,"Não",IF($D$3="","Sim, se faltarem pelo menos "&amp;FIXED(K73,1)&amp;" meses",IF(J73&lt;=G73*$D$3,"Sim","Não"))))))</f>
        <v/>
      </c>
      <c r="I73" s="12">
        <f>IF(R73&lt;&gt;"","",IF(G73&lt;=0,"",C73-E73/60-F73/G73))</f>
        <v/>
      </c>
      <c r="J73" s="13">
        <f>IF(OR(I73="",D73=""),"",IF(I73&lt;=0,"nunca",ROUNDUP(D73/I73,0)))</f>
        <v/>
      </c>
      <c r="K73" s="12">
        <f>IF(OR(J73="",J73="nunca"),"",J73/G73)</f>
        <v/>
      </c>
      <c r="L73" s="14" t="inlineStr">
        <is>
          <t>Automatizado</t>
        </is>
      </c>
      <c r="M73" s="15" t="inlineStr">
        <is>
          <t>Retornar erro para demanda inexistente.</t>
        </is>
      </c>
      <c r="N73" s="6" t="inlineStr">
        <is>
          <t>HU-04 Acompanhar status e histórico</t>
        </is>
      </c>
      <c r="O73" s="15" t="inlineStr">
        <is>
          <t>tests/acceptance/02_demands.test.ts › CT-DEM-16</t>
        </is>
      </c>
      <c r="P73" s="14" t="n"/>
      <c r="Q73" s="15" t="inlineStr"/>
      <c r="R73" s="13">
        <f>TRIM(IF(C73="","Tm ","")&amp;IF(AND(D73="",L73&lt;&gt;"Automatizado"),"Ti ","")&amp;IF(E73="","Ta ","")&amp;IF(F73="","Mn ","")&amp;IF(G73="","F ",""))</f>
        <v/>
      </c>
    </row>
    <row r="74">
      <c r="A74" s="6" t="inlineStr">
        <is>
          <t>TC69</t>
        </is>
      </c>
      <c r="B74" s="6" t="inlineStr">
        <is>
          <t>Sistema</t>
        </is>
      </c>
      <c r="C74" s="7" t="n"/>
      <c r="D74" s="10" t="n"/>
      <c r="E74" s="9" t="n">
        <v>2.706</v>
      </c>
      <c r="F74" s="7" t="n"/>
      <c r="G74" s="10" t="n"/>
      <c r="H74" s="11">
        <f>IF(R74&lt;&gt;"","Falta preencher: "&amp;R74,IF(G74&lt;=0,"F precisa ser maior que 0",IF(L74="Automatizado",IF(I74&gt;0,"Sim (manter)","Não (aposentar e voltar ao manual)"),IF(I74&lt;=0,"Não",IF($D$3="","Sim, se faltarem pelo menos "&amp;FIXED(K74,1)&amp;" meses",IF(J74&lt;=G74*$D$3,"Sim","Não"))))))</f>
        <v/>
      </c>
      <c r="I74" s="12">
        <f>IF(R74&lt;&gt;"","",IF(G74&lt;=0,"",C74-E74/60-F74/G74))</f>
        <v/>
      </c>
      <c r="J74" s="13">
        <f>IF(OR(I74="",D74=""),"",IF(I74&lt;=0,"nunca",ROUNDUP(D74/I74,0)))</f>
        <v/>
      </c>
      <c r="K74" s="12">
        <f>IF(OR(J74="",J74="nunca"),"",J74/G74)</f>
        <v/>
      </c>
      <c r="L74" s="14" t="inlineStr">
        <is>
          <t>Não automatizado</t>
        </is>
      </c>
      <c r="M74" s="15" t="inlineStr">
        <is>
          <t>Exibir no detalhe os seis dados exigidos da demanda.</t>
        </is>
      </c>
      <c r="N74" s="6" t="inlineStr">
        <is>
          <t>HU-04 Acompanhar status e histórico</t>
        </is>
      </c>
      <c r="O74" s="15" t="inlineStr"/>
      <c r="P74" s="14" t="n"/>
      <c r="Q74" s="15" t="inlineStr"/>
      <c r="R74" s="13">
        <f>TRIM(IF(C74="","Tm ","")&amp;IF(AND(D74="",L74&lt;&gt;"Automatizado"),"Ti ","")&amp;IF(E74="","Ta ","")&amp;IF(F74="","Mn ","")&amp;IF(G74="","F ",""))</f>
        <v/>
      </c>
    </row>
    <row r="75">
      <c r="A75" s="6" t="inlineStr">
        <is>
          <t>TC70</t>
        </is>
      </c>
      <c r="B75" s="6" t="inlineStr">
        <is>
          <t>Integração de componentes</t>
        </is>
      </c>
      <c r="C75" s="7" t="n"/>
      <c r="D75" s="8" t="n"/>
      <c r="E75" s="9" t="n">
        <v>0.08699999999999999</v>
      </c>
      <c r="F75" s="7" t="n"/>
      <c r="G75" s="10" t="n"/>
      <c r="H75" s="11">
        <f>IF(R75&lt;&gt;"","Falta preencher: "&amp;R75,IF(G75&lt;=0,"F precisa ser maior que 0",IF(L75="Automatizado",IF(I75&gt;0,"Sim (manter)","Não (aposentar e voltar ao manual)"),IF(I75&lt;=0,"Não",IF($D$3="","Sim, se faltarem pelo menos "&amp;FIXED(K75,1)&amp;" meses",IF(J75&lt;=G75*$D$3,"Sim","Não"))))))</f>
        <v/>
      </c>
      <c r="I75" s="12">
        <f>IF(R75&lt;&gt;"","",IF(G75&lt;=0,"",C75-E75/60-F75/G75))</f>
        <v/>
      </c>
      <c r="J75" s="13">
        <f>IF(OR(I75="",D75=""),"",IF(I75&lt;=0,"nunca",ROUNDUP(D75/I75,0)))</f>
        <v/>
      </c>
      <c r="K75" s="12">
        <f>IF(OR(J75="",J75="nunca"),"",J75/G75)</f>
        <v/>
      </c>
      <c r="L75" s="14" t="inlineStr">
        <is>
          <t>Automatizado</t>
        </is>
      </c>
      <c r="M75" s="15" t="inlineStr">
        <is>
          <t>Atualizar o status da demanda como gestor.</t>
        </is>
      </c>
      <c r="N75" s="6" t="inlineStr">
        <is>
          <t>HU-05 Atualização de status</t>
        </is>
      </c>
      <c r="O75" s="15" t="inlineStr">
        <is>
          <t>tests/acceptance/02_demands.test.ts › CT-DEM-18</t>
        </is>
      </c>
      <c r="P75" s="14" t="n"/>
      <c r="Q75" s="15" t="inlineStr"/>
      <c r="R75" s="13">
        <f>TRIM(IF(C75="","Tm ","")&amp;IF(AND(D75="",L75&lt;&gt;"Automatizado"),"Ti ","")&amp;IF(E75="","Ta ","")&amp;IF(F75="","Mn ","")&amp;IF(G75="","F ",""))</f>
        <v/>
      </c>
    </row>
    <row r="76">
      <c r="A76" s="6" t="inlineStr">
        <is>
          <t>TC71</t>
        </is>
      </c>
      <c r="B76" s="6" t="inlineStr">
        <is>
          <t>Integração de componentes</t>
        </is>
      </c>
      <c r="C76" s="7" t="n"/>
      <c r="D76" s="8" t="n"/>
      <c r="E76" s="9" t="n">
        <v>0.08699999999999999</v>
      </c>
      <c r="F76" s="7" t="n"/>
      <c r="G76" s="10" t="n"/>
      <c r="H76" s="11">
        <f>IF(R76&lt;&gt;"","Falta preencher: "&amp;R76,IF(G76&lt;=0,"F precisa ser maior que 0",IF(L76="Automatizado",IF(I76&gt;0,"Sim (manter)","Não (aposentar e voltar ao manual)"),IF(I76&lt;=0,"Não",IF($D$3="","Sim, se faltarem pelo menos "&amp;FIXED(K76,1)&amp;" meses",IF(J76&lt;=G76*$D$3,"Sim","Não"))))))</f>
        <v/>
      </c>
      <c r="I76" s="12">
        <f>IF(R76&lt;&gt;"","",IF(G76&lt;=0,"",C76-E76/60-F76/G76))</f>
        <v/>
      </c>
      <c r="J76" s="13">
        <f>IF(OR(I76="",D76=""),"",IF(I76&lt;=0,"nunca",ROUNDUP(D76/I76,0)))</f>
        <v/>
      </c>
      <c r="K76" s="12">
        <f>IF(OR(J76="",J76="nunca"),"",J76/G76)</f>
        <v/>
      </c>
      <c r="L76" s="14" t="inlineStr">
        <is>
          <t>Automatizado</t>
        </is>
      </c>
      <c r="M76" s="15" t="inlineStr">
        <is>
          <t>Acrescentar item ao histórico ao atualizar o status.</t>
        </is>
      </c>
      <c r="N76" s="6" t="inlineStr">
        <is>
          <t>HU-05 Atualização de status</t>
        </is>
      </c>
      <c r="O76" s="15" t="inlineStr">
        <is>
          <t>tests/acceptance/02_demands.test.ts › CT-DEM-18 (mesmo teste do TC70)</t>
        </is>
      </c>
      <c r="P76" s="14" t="n"/>
      <c r="Q76" s="15" t="inlineStr"/>
      <c r="R76" s="13">
        <f>TRIM(IF(C76="","Tm ","")&amp;IF(AND(D76="",L76&lt;&gt;"Automatizado"),"Ti ","")&amp;IF(E76="","Ta ","")&amp;IF(F76="","Mn ","")&amp;IF(G76="","F ",""))</f>
        <v/>
      </c>
    </row>
    <row r="77">
      <c r="A77" s="6" t="inlineStr">
        <is>
          <t>TC72</t>
        </is>
      </c>
      <c r="B77" s="6" t="inlineStr">
        <is>
          <t>Integração de componentes</t>
        </is>
      </c>
      <c r="C77" s="7" t="n"/>
      <c r="D77" s="8" t="n"/>
      <c r="E77" s="9" t="n">
        <v>0.029</v>
      </c>
      <c r="F77" s="7" t="n"/>
      <c r="G77" s="10" t="n"/>
      <c r="H77" s="11">
        <f>IF(R77&lt;&gt;"","Falta preencher: "&amp;R77,IF(G77&lt;=0,"F precisa ser maior que 0",IF(L77="Automatizado",IF(I77&gt;0,"Sim (manter)","Não (aposentar e voltar ao manual)"),IF(I77&lt;=0,"Não",IF($D$3="","Sim, se faltarem pelo menos "&amp;FIXED(K77,1)&amp;" meses",IF(J77&lt;=G77*$D$3,"Sim","Não"))))))</f>
        <v/>
      </c>
      <c r="I77" s="12">
        <f>IF(R77&lt;&gt;"","",IF(G77&lt;=0,"",C77-E77/60-F77/G77))</f>
        <v/>
      </c>
      <c r="J77" s="13">
        <f>IF(OR(I77="",D77=""),"",IF(I77&lt;=0,"nunca",ROUNDUP(D77/I77,0)))</f>
        <v/>
      </c>
      <c r="K77" s="12">
        <f>IF(OR(J77="",J77="nunca"),"",J77/G77)</f>
        <v/>
      </c>
      <c r="L77" s="14" t="inlineStr">
        <is>
          <t>Automatizado</t>
        </is>
      </c>
      <c r="M77" s="15" t="inlineStr">
        <is>
          <t>Recusar atualização de status feita por cidadão.</t>
        </is>
      </c>
      <c r="N77" s="6" t="inlineStr">
        <is>
          <t>HU-05 Atualização de status</t>
        </is>
      </c>
      <c r="O77" s="15" t="inlineStr">
        <is>
          <t>tests/acceptance/02_demands.test.ts › CT-DEM-17</t>
        </is>
      </c>
      <c r="P77" s="14" t="n"/>
      <c r="Q77" s="15" t="inlineStr"/>
      <c r="R77" s="13">
        <f>TRIM(IF(C77="","Tm ","")&amp;IF(AND(D77="",L77&lt;&gt;"Automatizado"),"Ti ","")&amp;IF(E77="","Ta ","")&amp;IF(F77="","Mn ","")&amp;IF(G77="","F ",""))</f>
        <v/>
      </c>
    </row>
    <row r="78">
      <c r="A78" s="6" t="inlineStr">
        <is>
          <t>TC73</t>
        </is>
      </c>
      <c r="B78" s="6" t="inlineStr">
        <is>
          <t>Integração de componentes</t>
        </is>
      </c>
      <c r="C78" s="7" t="n"/>
      <c r="D78" s="8" t="n"/>
      <c r="E78" s="9" t="n">
        <v>0.007</v>
      </c>
      <c r="F78" s="7" t="n"/>
      <c r="G78" s="10" t="n"/>
      <c r="H78" s="11">
        <f>IF(R78&lt;&gt;"","Falta preencher: "&amp;R78,IF(G78&lt;=0,"F precisa ser maior que 0",IF(L78="Automatizado",IF(I78&gt;0,"Sim (manter)","Não (aposentar e voltar ao manual)"),IF(I78&lt;=0,"Não",IF($D$3="","Sim, se faltarem pelo menos "&amp;FIXED(K78,1)&amp;" meses",IF(J78&lt;=G78*$D$3,"Sim","Não"))))))</f>
        <v/>
      </c>
      <c r="I78" s="12">
        <f>IF(R78&lt;&gt;"","",IF(G78&lt;=0,"",C78-E78/60-F78/G78))</f>
        <v/>
      </c>
      <c r="J78" s="13">
        <f>IF(OR(I78="",D78=""),"",IF(I78&lt;=0,"nunca",ROUNDUP(D78/I78,0)))</f>
        <v/>
      </c>
      <c r="K78" s="12">
        <f>IF(OR(J78="",J78="nunca"),"",J78/G78)</f>
        <v/>
      </c>
      <c r="L78" s="14" t="inlineStr">
        <is>
          <t>Automatizado</t>
        </is>
      </c>
      <c r="M78" s="15" t="inlineStr">
        <is>
          <t>Recusar atualização de status sem autenticação.</t>
        </is>
      </c>
      <c r="N78" s="6" t="inlineStr">
        <is>
          <t>HU-05 Atualização de status</t>
        </is>
      </c>
      <c r="O78" s="15" t="inlineStr">
        <is>
          <t>tests/acceptance/02_demands.test.ts › CT-DEM-21</t>
        </is>
      </c>
      <c r="P78" s="14" t="n"/>
      <c r="Q78" s="15" t="inlineStr"/>
      <c r="R78" s="13">
        <f>TRIM(IF(C78="","Tm ","")&amp;IF(AND(D78="",L78&lt;&gt;"Automatizado"),"Ti ","")&amp;IF(E78="","Ta ","")&amp;IF(F78="","Mn ","")&amp;IF(G78="","F ",""))</f>
        <v/>
      </c>
    </row>
    <row r="79">
      <c r="A79" s="6" t="inlineStr">
        <is>
          <t>TC74</t>
        </is>
      </c>
      <c r="B79" s="6" t="inlineStr">
        <is>
          <t>Integração de componentes</t>
        </is>
      </c>
      <c r="C79" s="7" t="n"/>
      <c r="D79" s="8" t="n"/>
      <c r="E79" s="9" t="n">
        <v>0.022</v>
      </c>
      <c r="F79" s="7" t="n"/>
      <c r="G79" s="10" t="n"/>
      <c r="H79" s="11">
        <f>IF(R79&lt;&gt;"","Falta preencher: "&amp;R79,IF(G79&lt;=0,"F precisa ser maior que 0",IF(L79="Automatizado",IF(I79&gt;0,"Sim (manter)","Não (aposentar e voltar ao manual)"),IF(I79&lt;=0,"Não",IF($D$3="","Sim, se faltarem pelo menos "&amp;FIXED(K79,1)&amp;" meses",IF(J79&lt;=G79*$D$3,"Sim","Não"))))))</f>
        <v/>
      </c>
      <c r="I79" s="12">
        <f>IF(R79&lt;&gt;"","",IF(G79&lt;=0,"",C79-E79/60-F79/G79))</f>
        <v/>
      </c>
      <c r="J79" s="13">
        <f>IF(OR(I79="",D79=""),"",IF(I79&lt;=0,"nunca",ROUNDUP(D79/I79,0)))</f>
        <v/>
      </c>
      <c r="K79" s="12">
        <f>IF(OR(J79="",J79="nunca"),"",J79/G79)</f>
        <v/>
      </c>
      <c r="L79" s="14" t="inlineStr">
        <is>
          <t>Automatizado</t>
        </is>
      </c>
      <c r="M79" s="15" t="inlineStr">
        <is>
          <t>Recusar atualização com status fora do enum.</t>
        </is>
      </c>
      <c r="N79" s="6" t="inlineStr">
        <is>
          <t>HU-05 Atualização de status</t>
        </is>
      </c>
      <c r="O79" s="15" t="inlineStr">
        <is>
          <t>tests/acceptance/02_demands.test.ts › CT-DEM-19</t>
        </is>
      </c>
      <c r="P79" s="14" t="n"/>
      <c r="Q79" s="15" t="inlineStr"/>
      <c r="R79" s="13">
        <f>TRIM(IF(C79="","Tm ","")&amp;IF(AND(D79="",L79&lt;&gt;"Automatizado"),"Ti ","")&amp;IF(E79="","Ta ","")&amp;IF(F79="","Mn ","")&amp;IF(G79="","F ",""))</f>
        <v/>
      </c>
    </row>
    <row r="80">
      <c r="A80" s="6" t="inlineStr">
        <is>
          <t>TC75</t>
        </is>
      </c>
      <c r="B80" s="6" t="inlineStr">
        <is>
          <t>Integração de componentes</t>
        </is>
      </c>
      <c r="C80" s="7" t="n"/>
      <c r="D80" s="8" t="n"/>
      <c r="E80" s="9" t="n">
        <v>0.018</v>
      </c>
      <c r="F80" s="7" t="n"/>
      <c r="G80" s="10" t="n"/>
      <c r="H80" s="11">
        <f>IF(R80&lt;&gt;"","Falta preencher: "&amp;R80,IF(G80&lt;=0,"F precisa ser maior que 0",IF(L80="Automatizado",IF(I80&gt;0,"Sim (manter)","Não (aposentar e voltar ao manual)"),IF(I80&lt;=0,"Não",IF($D$3="","Sim, se faltarem pelo menos "&amp;FIXED(K80,1)&amp;" meses",IF(J80&lt;=G80*$D$3,"Sim","Não"))))))</f>
        <v/>
      </c>
      <c r="I80" s="12">
        <f>IF(R80&lt;&gt;"","",IF(G80&lt;=0,"",C80-E80/60-F80/G80))</f>
        <v/>
      </c>
      <c r="J80" s="13">
        <f>IF(OR(I80="",D80=""),"",IF(I80&lt;=0,"nunca",ROUNDUP(D80/I80,0)))</f>
        <v/>
      </c>
      <c r="K80" s="12">
        <f>IF(OR(J80="",J80="nunca"),"",J80/G80)</f>
        <v/>
      </c>
      <c r="L80" s="14" t="inlineStr">
        <is>
          <t>Automatizado</t>
        </is>
      </c>
      <c r="M80" s="15" t="inlineStr">
        <is>
          <t>Recusar atualização de status de demanda inexistente.</t>
        </is>
      </c>
      <c r="N80" s="6" t="inlineStr">
        <is>
          <t>HU-05 Atualização de status</t>
        </is>
      </c>
      <c r="O80" s="15" t="inlineStr">
        <is>
          <t>tests/acceptance/02_demands.test.ts › CT-DEM-20</t>
        </is>
      </c>
      <c r="P80" s="14" t="n"/>
      <c r="Q80" s="15" t="inlineStr"/>
      <c r="R80" s="13">
        <f>TRIM(IF(C80="","Tm ","")&amp;IF(AND(D80="",L80&lt;&gt;"Automatizado"),"Ti ","")&amp;IF(E80="","Ta ","")&amp;IF(F80="","Mn ","")&amp;IF(G80="","F ",""))</f>
        <v/>
      </c>
    </row>
    <row r="81">
      <c r="A81" s="6" t="inlineStr">
        <is>
          <t>TC76</t>
        </is>
      </c>
      <c r="B81" s="6" t="inlineStr">
        <is>
          <t>Integração de componentes</t>
        </is>
      </c>
      <c r="C81" s="7" t="n"/>
      <c r="D81" s="10" t="n"/>
      <c r="E81" s="9" t="n">
        <v>0.024</v>
      </c>
      <c r="F81" s="7" t="n"/>
      <c r="G81" s="10" t="n"/>
      <c r="H81" s="11">
        <f>IF(R81&lt;&gt;"","Falta preencher: "&amp;R81,IF(G81&lt;=0,"F precisa ser maior que 0",IF(L81="Automatizado",IF(I81&gt;0,"Sim (manter)","Não (aposentar e voltar ao manual)"),IF(I81&lt;=0,"Não",IF($D$3="","Sim, se faltarem pelo menos "&amp;FIXED(K81,1)&amp;" meses",IF(J81&lt;=G81*$D$3,"Sim","Não"))))))</f>
        <v/>
      </c>
      <c r="I81" s="12">
        <f>IF(R81&lt;&gt;"","",IF(G81&lt;=0,"",C81-E81/60-F81/G81))</f>
        <v/>
      </c>
      <c r="J81" s="13">
        <f>IF(OR(I81="",D81=""),"",IF(I81&lt;=0,"nunca",ROUNDUP(D81/I81,0)))</f>
        <v/>
      </c>
      <c r="K81" s="12">
        <f>IF(OR(J81="",J81="nunca"),"",J81/G81)</f>
        <v/>
      </c>
      <c r="L81" s="14" t="inlineStr">
        <is>
          <t>Não automatizado</t>
        </is>
      </c>
      <c r="M81" s="15" t="inlineStr">
        <is>
          <t>Percorrer o ciclo nominal de status até resolvida.</t>
        </is>
      </c>
      <c r="N81" s="6" t="inlineStr">
        <is>
          <t>HU-05 Atualização de status</t>
        </is>
      </c>
      <c r="O81" s="15" t="inlineStr"/>
      <c r="P81" s="14" t="n"/>
      <c r="Q81" s="15" t="inlineStr">
        <is>
          <t>O ciclo até 'resolvida' está coberto no nível Sistema (gestor-gerencia-demanda.spec.ts), não na API como pede o TC.</t>
        </is>
      </c>
      <c r="R81" s="13">
        <f>TRIM(IF(C81="","Tm ","")&amp;IF(AND(D81="",L81&lt;&gt;"Automatizado"),"Ti ","")&amp;IF(E81="","Ta ","")&amp;IF(F81="","Mn ","")&amp;IF(G81="","F ",""))</f>
        <v/>
      </c>
    </row>
    <row r="82">
      <c r="A82" s="6" t="inlineStr">
        <is>
          <t>TC77</t>
        </is>
      </c>
      <c r="B82" s="6" t="inlineStr">
        <is>
          <t>Integração de componentes</t>
        </is>
      </c>
      <c r="C82" s="7" t="n"/>
      <c r="D82" s="10" t="n"/>
      <c r="E82" s="9" t="n">
        <v>0.024</v>
      </c>
      <c r="F82" s="7" t="n"/>
      <c r="G82" s="10" t="n"/>
      <c r="H82" s="11">
        <f>IF(R82&lt;&gt;"","Falta preencher: "&amp;R82,IF(G82&lt;=0,"F precisa ser maior que 0",IF(L82="Automatizado",IF(I82&gt;0,"Sim (manter)","Não (aposentar e voltar ao manual)"),IF(I82&lt;=0,"Não",IF($D$3="","Sim, se faltarem pelo menos "&amp;FIXED(K82,1)&amp;" meses",IF(J82&lt;=G82*$D$3,"Sim","Não"))))))</f>
        <v/>
      </c>
      <c r="I82" s="12">
        <f>IF(R82&lt;&gt;"","",IF(G82&lt;=0,"",C82-E82/60-F82/G82))</f>
        <v/>
      </c>
      <c r="J82" s="13">
        <f>IF(OR(I82="",D82=""),"",IF(I82&lt;=0,"nunca",ROUNDUP(D82/I82,0)))</f>
        <v/>
      </c>
      <c r="K82" s="12">
        <f>IF(OR(J82="",J82="nunca"),"",J82/G82)</f>
        <v/>
      </c>
      <c r="L82" s="14" t="inlineStr">
        <is>
          <t>Não automatizado</t>
        </is>
      </c>
      <c r="M82" s="15" t="inlineStr">
        <is>
          <t>Cancelar demanda com status registrada.</t>
        </is>
      </c>
      <c r="N82" s="6" t="inlineStr">
        <is>
          <t>HU-05 Atualização de status</t>
        </is>
      </c>
      <c r="O82" s="15" t="inlineStr"/>
      <c r="P82" s="14" t="n"/>
      <c r="Q82" s="15" t="inlineStr"/>
      <c r="R82" s="13">
        <f>TRIM(IF(C82="","Tm ","")&amp;IF(AND(D82="",L82&lt;&gt;"Automatizado"),"Ti ","")&amp;IF(E82="","Ta ","")&amp;IF(F82="","Mn ","")&amp;IF(G82="","F ",""))</f>
        <v/>
      </c>
    </row>
    <row r="83">
      <c r="A83" s="6" t="inlineStr">
        <is>
          <t>TC78</t>
        </is>
      </c>
      <c r="B83" s="6" t="inlineStr">
        <is>
          <t>Sistema</t>
        </is>
      </c>
      <c r="C83" s="7" t="n"/>
      <c r="D83" s="10" t="n"/>
      <c r="E83" s="9" t="n">
        <v>2.706</v>
      </c>
      <c r="F83" s="7" t="n"/>
      <c r="G83" s="10" t="n"/>
      <c r="H83" s="11">
        <f>IF(R83&lt;&gt;"","Falta preencher: "&amp;R83,IF(G83&lt;=0,"F precisa ser maior que 0",IF(L83="Automatizado",IF(I83&gt;0,"Sim (manter)","Não (aposentar e voltar ao manual)"),IF(I83&lt;=0,"Não",IF($D$3="","Sim, se faltarem pelo menos "&amp;FIXED(K83,1)&amp;" meses",IF(J83&lt;=G83*$D$3,"Sim","Não"))))))</f>
        <v/>
      </c>
      <c r="I83" s="12">
        <f>IF(R83&lt;&gt;"","",IF(G83&lt;=0,"",C83-E83/60-F83/G83))</f>
        <v/>
      </c>
      <c r="J83" s="13">
        <f>IF(OR(I83="",D83=""),"",IF(I83&lt;=0,"nunca",ROUNDUP(D83/I83,0)))</f>
        <v/>
      </c>
      <c r="K83" s="12">
        <f>IF(OR(J83="",J83="nunca"),"",J83/G83)</f>
        <v/>
      </c>
      <c r="L83" s="14" t="inlineStr">
        <is>
          <t>Não automatizado</t>
        </is>
      </c>
      <c r="M83" s="15" t="inlineStr">
        <is>
          <t>Exibir ao cidadão o status alterado pelo gestor.</t>
        </is>
      </c>
      <c r="N83" s="6" t="inlineStr">
        <is>
          <t>HU-04 Acompanhar status e histórico</t>
        </is>
      </c>
      <c r="O83" s="15" t="inlineStr"/>
      <c r="P83" s="14" t="n"/>
      <c r="Q83" s="15" t="inlineStr">
        <is>
          <t>gestor-gerencia-demanda.spec.ts mostra ao cidadão o status final no card da lista, não o detalhe com 'em atendimento'.</t>
        </is>
      </c>
      <c r="R83" s="13">
        <f>TRIM(IF(C83="","Tm ","")&amp;IF(AND(D83="",L83&lt;&gt;"Automatizado"),"Ti ","")&amp;IF(E83="","Ta ","")&amp;IF(F83="","Mn ","")&amp;IF(G83="","F ",""))</f>
        <v/>
      </c>
    </row>
    <row r="84">
      <c r="A84" s="6" t="inlineStr">
        <is>
          <t>TC79</t>
        </is>
      </c>
      <c r="B84" s="6" t="inlineStr">
        <is>
          <t>Sistema</t>
        </is>
      </c>
      <c r="C84" s="7" t="n"/>
      <c r="D84" s="8" t="n"/>
      <c r="E84" s="9" t="n">
        <v>4.383</v>
      </c>
      <c r="F84" s="7" t="n"/>
      <c r="G84" s="10" t="n"/>
      <c r="H84" s="11">
        <f>IF(R84&lt;&gt;"","Falta preencher: "&amp;R84,IF(G84&lt;=0,"F precisa ser maior que 0",IF(L84="Automatizado",IF(I84&gt;0,"Sim (manter)","Não (aposentar e voltar ao manual)"),IF(I84&lt;=0,"Não",IF($D$3="","Sim, se faltarem pelo menos "&amp;FIXED(K84,1)&amp;" meses",IF(J84&lt;=G84*$D$3,"Sim","Não"))))))</f>
        <v/>
      </c>
      <c r="I84" s="12">
        <f>IF(R84&lt;&gt;"","",IF(G84&lt;=0,"",C84-E84/60-F84/G84))</f>
        <v/>
      </c>
      <c r="J84" s="13">
        <f>IF(OR(I84="",D84=""),"",IF(I84&lt;=0,"nunca",ROUNDUP(D84/I84,0)))</f>
        <v/>
      </c>
      <c r="K84" s="12">
        <f>IF(OR(J84="",J84="nunca"),"",J84/G84)</f>
        <v/>
      </c>
      <c r="L84" s="14" t="inlineStr">
        <is>
          <t>Automatizado</t>
        </is>
      </c>
      <c r="M84" s="15" t="inlineStr">
        <is>
          <t>Exibir no histórico a observação registrada pelo gestor.</t>
        </is>
      </c>
      <c r="N84" s="6" t="inlineStr">
        <is>
          <t>HU-05 Atualização de status</t>
        </is>
      </c>
      <c r="O84" s="15" t="inlineStr">
        <is>
          <t>e2e/tests/gestor-gerencia-demanda.spec.ts (observação visível a cada etapa)</t>
        </is>
      </c>
      <c r="P84" s="14" t="n"/>
      <c r="Q84" s="15" t="inlineStr"/>
      <c r="R84" s="13">
        <f>TRIM(IF(C84="","Tm ","")&amp;IF(AND(D84="",L84&lt;&gt;"Automatizado"),"Ti ","")&amp;IF(E84="","Ta ","")&amp;IF(F84="","Mn ","")&amp;IF(G84="","F ",""))</f>
        <v/>
      </c>
    </row>
    <row r="85">
      <c r="A85" s="6" t="inlineStr">
        <is>
          <t>TC80</t>
        </is>
      </c>
      <c r="B85" s="6" t="inlineStr">
        <is>
          <t>Sistema</t>
        </is>
      </c>
      <c r="C85" s="7" t="n"/>
      <c r="D85" s="10" t="n"/>
      <c r="E85" s="9" t="n">
        <v>2.706</v>
      </c>
      <c r="F85" s="7" t="n"/>
      <c r="G85" s="10" t="n"/>
      <c r="H85" s="11">
        <f>IF(R85&lt;&gt;"","Falta preencher: "&amp;R85,IF(G85&lt;=0,"F precisa ser maior que 0",IF(L85="Automatizado",IF(I85&gt;0,"Sim (manter)","Não (aposentar e voltar ao manual)"),IF(I85&lt;=0,"Não",IF($D$3="","Sim, se faltarem pelo menos "&amp;FIXED(K85,1)&amp;" meses",IF(J85&lt;=G85*$D$3,"Sim","Não"))))))</f>
        <v/>
      </c>
      <c r="I85" s="12">
        <f>IF(R85&lt;&gt;"","",IF(G85&lt;=0,"",C85-E85/60-F85/G85))</f>
        <v/>
      </c>
      <c r="J85" s="13">
        <f>IF(OR(I85="",D85=""),"",IF(I85&lt;=0,"nunca",ROUNDUP(D85/I85,0)))</f>
        <v/>
      </c>
      <c r="K85" s="12">
        <f>IF(OR(J85="",J85="nunca"),"",J85/G85)</f>
        <v/>
      </c>
      <c r="L85" s="14" t="inlineStr">
        <is>
          <t>Não automatizado</t>
        </is>
      </c>
      <c r="M85" s="15" t="inlineStr">
        <is>
          <t>Exibir no painel do gestor o total de demandas das métricas gerais.</t>
        </is>
      </c>
      <c r="N85" s="6" t="inlineStr">
        <is>
          <t>HU-07 Painel do gestor</t>
        </is>
      </c>
      <c r="O85" s="15" t="inlineStr"/>
      <c r="P85" s="14" t="n"/>
      <c r="Q85" s="15" t="inlineStr">
        <is>
          <t>gestor-aceita-triagem.spec.ts confere as métricas Encaminhadas e Em análise, não o Total.</t>
        </is>
      </c>
      <c r="R85" s="13">
        <f>TRIM(IF(C85="","Tm ","")&amp;IF(AND(D85="",L85&lt;&gt;"Automatizado"),"Ti ","")&amp;IF(E85="","Ta ","")&amp;IF(F85="","Mn ","")&amp;IF(G85="","F ",""))</f>
        <v/>
      </c>
    </row>
    <row r="86">
      <c r="A86" s="6" t="inlineStr">
        <is>
          <t>TC81</t>
        </is>
      </c>
      <c r="B86" s="6" t="inlineStr">
        <is>
          <t>Sistema</t>
        </is>
      </c>
      <c r="C86" s="7" t="n"/>
      <c r="D86" s="10" t="n"/>
      <c r="E86" s="9" t="n">
        <v>2.706</v>
      </c>
      <c r="F86" s="7" t="n"/>
      <c r="G86" s="10" t="n"/>
      <c r="H86" s="11">
        <f>IF(R86&lt;&gt;"","Falta preencher: "&amp;R86,IF(G86&lt;=0,"F precisa ser maior que 0",IF(L86="Automatizado",IF(I86&gt;0,"Sim (manter)","Não (aposentar e voltar ao manual)"),IF(I86&lt;=0,"Não",IF($D$3="","Sim, se faltarem pelo menos "&amp;FIXED(K86,1)&amp;" meses",IF(J86&lt;=G86*$D$3,"Sim","Não"))))))</f>
        <v/>
      </c>
      <c r="I86" s="12">
        <f>IF(R86&lt;&gt;"","",IF(G86&lt;=0,"",C86-E86/60-F86/G86))</f>
        <v/>
      </c>
      <c r="J86" s="13">
        <f>IF(OR(I86="",D86=""),"",IF(I86&lt;=0,"nunca",ROUNDUP(D86/I86,0)))</f>
        <v/>
      </c>
      <c r="K86" s="12">
        <f>IF(OR(J86="",J86="nunca"),"",J86/G86)</f>
        <v/>
      </c>
      <c r="L86" s="14" t="inlineStr">
        <is>
          <t>Não automatizado</t>
        </is>
      </c>
      <c r="M86" s="15" t="inlineStr">
        <is>
          <t>Exibir na fila recente a demanda criada por último.</t>
        </is>
      </c>
      <c r="N86" s="6" t="inlineStr">
        <is>
          <t>HU-07 Painel do gestor</t>
        </is>
      </c>
      <c r="O86" s="15" t="inlineStr"/>
      <c r="P86" s="14" t="n"/>
      <c r="Q86" s="15" t="inlineStr"/>
      <c r="R86" s="13">
        <f>TRIM(IF(C86="","Tm ","")&amp;IF(AND(D86="",L86&lt;&gt;"Automatizado"),"Ti ","")&amp;IF(E86="","Ta ","")&amp;IF(F86="","Mn ","")&amp;IF(G86="","F ",""))</f>
        <v/>
      </c>
    </row>
    <row r="87">
      <c r="A87" s="6" t="inlineStr">
        <is>
          <t>TC82</t>
        </is>
      </c>
      <c r="B87" s="6" t="inlineStr">
        <is>
          <t>Sistema</t>
        </is>
      </c>
      <c r="C87" s="7" t="n"/>
      <c r="D87" s="10" t="n"/>
      <c r="E87" s="9" t="n">
        <v>2.706</v>
      </c>
      <c r="F87" s="7" t="n"/>
      <c r="G87" s="10" t="n"/>
      <c r="H87" s="11">
        <f>IF(R87&lt;&gt;"","Falta preencher: "&amp;R87,IF(G87&lt;=0,"F precisa ser maior que 0",IF(L87="Automatizado",IF(I87&gt;0,"Sim (manter)","Não (aposentar e voltar ao manual)"),IF(I87&lt;=0,"Não",IF($D$3="","Sim, se faltarem pelo menos "&amp;FIXED(K87,1)&amp;" meses",IF(J87&lt;=G87*$D$3,"Sim","Não"))))))</f>
        <v/>
      </c>
      <c r="I87" s="12">
        <f>IF(R87&lt;&gt;"","",IF(G87&lt;=0,"",C87-E87/60-F87/G87))</f>
        <v/>
      </c>
      <c r="J87" s="13">
        <f>IF(OR(I87="",D87=""),"",IF(I87&lt;=0,"nunca",ROUNDUP(D87/I87,0)))</f>
        <v/>
      </c>
      <c r="K87" s="12">
        <f>IF(OR(J87="",J87="nunca"),"",J87/G87)</f>
        <v/>
      </c>
      <c r="L87" s="14" t="inlineStr">
        <is>
          <t>Não automatizado</t>
        </is>
      </c>
      <c r="M87" s="15" t="inlineStr">
        <is>
          <t>Exibir categoria, confiança e sugestão de encaminhamento na triagem.</t>
        </is>
      </c>
      <c r="N87" s="6" t="inlineStr">
        <is>
          <t>HU-08 Revisão da triagem</t>
        </is>
      </c>
      <c r="O87" s="15" t="inlineStr"/>
      <c r="P87" s="14" t="n"/>
      <c r="Q87" s="15" t="inlineStr">
        <is>
          <t>gestor-aceita-triagem.spec.ts confere sugestão e % de confiança; a categoria não é verificada.</t>
        </is>
      </c>
      <c r="R87" s="13">
        <f>TRIM(IF(C87="","Tm ","")&amp;IF(AND(D87="",L87&lt;&gt;"Automatizado"),"Ti ","")&amp;IF(E87="","Ta ","")&amp;IF(F87="","Mn ","")&amp;IF(G87="","F ",""))</f>
        <v/>
      </c>
    </row>
    <row r="88">
      <c r="A88" s="6" t="inlineStr">
        <is>
          <t>TC83</t>
        </is>
      </c>
      <c r="B88" s="6" t="inlineStr">
        <is>
          <t>Integração de componentes</t>
        </is>
      </c>
      <c r="C88" s="7" t="n"/>
      <c r="D88" s="10" t="n"/>
      <c r="E88" s="9" t="n">
        <v>0.024</v>
      </c>
      <c r="F88" s="7" t="n"/>
      <c r="G88" s="10" t="n"/>
      <c r="H88" s="11">
        <f>IF(R88&lt;&gt;"","Falta preencher: "&amp;R88,IF(G88&lt;=0,"F precisa ser maior que 0",IF(L88="Automatizado",IF(I88&gt;0,"Sim (manter)","Não (aposentar e voltar ao manual)"),IF(I88&lt;=0,"Não",IF($D$3="","Sim, se faltarem pelo menos "&amp;FIXED(K88,1)&amp;" meses",IF(J88&lt;=G88*$D$3,"Sim","Não"))))))</f>
        <v/>
      </c>
      <c r="I88" s="12">
        <f>IF(R88&lt;&gt;"","",IF(G88&lt;=0,"",C88-E88/60-F88/G88))</f>
        <v/>
      </c>
      <c r="J88" s="13">
        <f>IF(OR(I88="",D88=""),"",IF(I88&lt;=0,"nunca",ROUNDUP(D88/I88,0)))</f>
        <v/>
      </c>
      <c r="K88" s="12">
        <f>IF(OR(J88="",J88="nunca"),"",J88/G88)</f>
        <v/>
      </c>
      <c r="L88" s="14" t="inlineStr">
        <is>
          <t>Não automatizado</t>
        </is>
      </c>
      <c r="M88" s="15" t="inlineStr">
        <is>
          <t>Sugerir o órgão cujo categoriasJson contém a categoria da demanda.</t>
        </is>
      </c>
      <c r="N88" s="6" t="inlineStr">
        <is>
          <t>HU-08 Revisão da triagem</t>
        </is>
      </c>
      <c r="O88" s="15" t="inlineStr"/>
      <c r="P88" s="14" t="n"/>
      <c r="Q88" s="15" t="inlineStr"/>
      <c r="R88" s="13">
        <f>TRIM(IF(C88="","Tm ","")&amp;IF(AND(D88="",L88&lt;&gt;"Automatizado"),"Ti ","")&amp;IF(E88="","Ta ","")&amp;IF(F88="","Mn ","")&amp;IF(G88="","F ",""))</f>
        <v/>
      </c>
    </row>
    <row r="89">
      <c r="A89" s="6" t="inlineStr">
        <is>
          <t>TC84</t>
        </is>
      </c>
      <c r="B89" s="6" t="inlineStr">
        <is>
          <t>Integração de componentes</t>
        </is>
      </c>
      <c r="C89" s="7" t="n"/>
      <c r="D89" s="8" t="n"/>
      <c r="E89" s="9" t="n">
        <v>0.03</v>
      </c>
      <c r="F89" s="7" t="n"/>
      <c r="G89" s="10" t="n"/>
      <c r="H89" s="11">
        <f>IF(R89&lt;&gt;"","Falta preencher: "&amp;R89,IF(G89&lt;=0,"F precisa ser maior que 0",IF(L89="Automatizado",IF(I89&gt;0,"Sim (manter)","Não (aposentar e voltar ao manual)"),IF(I89&lt;=0,"Não",IF($D$3="","Sim, se faltarem pelo menos "&amp;FIXED(K89,1)&amp;" meses",IF(J89&lt;=G89*$D$3,"Sim","Não"))))))</f>
        <v/>
      </c>
      <c r="I89" s="12">
        <f>IF(R89&lt;&gt;"","",IF(G89&lt;=0,"",C89-E89/60-F89/G89))</f>
        <v/>
      </c>
      <c r="J89" s="13">
        <f>IF(OR(I89="",D89=""),"",IF(I89&lt;=0,"nunca",ROUNDUP(D89/I89,0)))</f>
        <v/>
      </c>
      <c r="K89" s="12">
        <f>IF(OR(J89="",J89="nunca"),"",J89/G89)</f>
        <v/>
      </c>
      <c r="L89" s="14" t="inlineStr">
        <is>
          <t>Automatizado</t>
        </is>
      </c>
      <c r="M89" s="15" t="inlineStr">
        <is>
          <t>Retornar ao cidadão métricas só das próprias demandas.</t>
        </is>
      </c>
      <c r="N89" s="6" t="inlineStr">
        <is>
          <t>HU-10 Dashboard do cidadão</t>
        </is>
      </c>
      <c r="O89" s="15" t="inlineStr">
        <is>
          <t>tests/acceptance/03_metrics_and_organs.test.ts › CT-MET-02</t>
        </is>
      </c>
      <c r="P89" s="14" t="n"/>
      <c r="Q89" s="15" t="inlineStr"/>
      <c r="R89" s="13">
        <f>TRIM(IF(C89="","Tm ","")&amp;IF(AND(D89="",L89&lt;&gt;"Automatizado"),"Ti ","")&amp;IF(E89="","Ta ","")&amp;IF(F89="","Mn ","")&amp;IF(G89="","F ",""))</f>
        <v/>
      </c>
    </row>
    <row r="90">
      <c r="A90" s="6" t="inlineStr">
        <is>
          <t>TC85</t>
        </is>
      </c>
      <c r="B90" s="6" t="inlineStr">
        <is>
          <t>Integração de componentes</t>
        </is>
      </c>
      <c r="C90" s="7" t="n"/>
      <c r="D90" s="8" t="n"/>
      <c r="E90" s="9" t="n">
        <v>0.026</v>
      </c>
      <c r="F90" s="7" t="n"/>
      <c r="G90" s="10" t="n"/>
      <c r="H90" s="11">
        <f>IF(R90&lt;&gt;"","Falta preencher: "&amp;R90,IF(G90&lt;=0,"F precisa ser maior que 0",IF(L90="Automatizado",IF(I90&gt;0,"Sim (manter)","Não (aposentar e voltar ao manual)"),IF(I90&lt;=0,"Não",IF($D$3="","Sim, se faltarem pelo menos "&amp;FIXED(K90,1)&amp;" meses",IF(J90&lt;=G90*$D$3,"Sim","Não"))))))</f>
        <v/>
      </c>
      <c r="I90" s="12">
        <f>IF(R90&lt;&gt;"","",IF(G90&lt;=0,"",C90-E90/60-F90/G90))</f>
        <v/>
      </c>
      <c r="J90" s="13">
        <f>IF(OR(I90="",D90=""),"",IF(I90&lt;=0,"nunca",ROUNDUP(D90/I90,0)))</f>
        <v/>
      </c>
      <c r="K90" s="12">
        <f>IF(OR(J90="",J90="nunca"),"",J90/G90)</f>
        <v/>
      </c>
      <c r="L90" s="14" t="inlineStr">
        <is>
          <t>Automatizado</t>
        </is>
      </c>
      <c r="M90" s="15" t="inlineStr">
        <is>
          <t>Retornar ao gestor métricas gerais.</t>
        </is>
      </c>
      <c r="N90" s="6" t="inlineStr">
        <is>
          <t>HU-07 Painel do gestor</t>
        </is>
      </c>
      <c r="O90" s="15" t="inlineStr">
        <is>
          <t>tests/acceptance/03_metrics_and_organs.test.ts › CT-MET-01</t>
        </is>
      </c>
      <c r="P90" s="14" t="n"/>
      <c r="Q90" s="15" t="inlineStr"/>
      <c r="R90" s="13">
        <f>TRIM(IF(C90="","Tm ","")&amp;IF(AND(D90="",L90&lt;&gt;"Automatizado"),"Ti ","")&amp;IF(E90="","Ta ","")&amp;IF(F90="","Mn ","")&amp;IF(G90="","F ",""))</f>
        <v/>
      </c>
    </row>
    <row r="91">
      <c r="A91" s="6" t="inlineStr">
        <is>
          <t>TC86</t>
        </is>
      </c>
      <c r="B91" s="6" t="inlineStr">
        <is>
          <t>Integração de componentes</t>
        </is>
      </c>
      <c r="C91" s="7" t="n"/>
      <c r="D91" s="10" t="n"/>
      <c r="E91" s="9" t="n">
        <v>0.024</v>
      </c>
      <c r="F91" s="7" t="n"/>
      <c r="G91" s="10" t="n"/>
      <c r="H91" s="11">
        <f>IF(R91&lt;&gt;"","Falta preencher: "&amp;R91,IF(G91&lt;=0,"F precisa ser maior que 0",IF(L91="Automatizado",IF(I91&gt;0,"Sim (manter)","Não (aposentar e voltar ao manual)"),IF(I91&lt;=0,"Não",IF($D$3="","Sim, se faltarem pelo menos "&amp;FIXED(K91,1)&amp;" meses",IF(J91&lt;=G91*$D$3,"Sim","Não"))))))</f>
        <v/>
      </c>
      <c r="I91" s="12">
        <f>IF(R91&lt;&gt;"","",IF(G91&lt;=0,"",C91-E91/60-F91/G91))</f>
        <v/>
      </c>
      <c r="J91" s="13">
        <f>IF(OR(I91="",D91=""),"",IF(I91&lt;=0,"nunca",ROUNDUP(D91/I91,0)))</f>
        <v/>
      </c>
      <c r="K91" s="12">
        <f>IF(OR(J91="",J91="nunca"),"",J91/G91)</f>
        <v/>
      </c>
      <c r="L91" s="14" t="inlineStr">
        <is>
          <t>Não automatizado</t>
        </is>
      </c>
      <c r="M91" s="15" t="inlineStr">
        <is>
          <t>Responder métricas sem Redis configurado.</t>
        </is>
      </c>
      <c r="N91" s="6" t="inlineStr">
        <is>
          <t>HU-07 Painel do gestor</t>
        </is>
      </c>
      <c r="O91" s="15" t="inlineStr"/>
      <c r="P91" s="14" t="n"/>
      <c r="Q91" s="15" t="inlineStr"/>
      <c r="R91" s="13">
        <f>TRIM(IF(C91="","Tm ","")&amp;IF(AND(D91="",L91&lt;&gt;"Automatizado"),"Ti ","")&amp;IF(E91="","Ta ","")&amp;IF(F91="","Mn ","")&amp;IF(G91="","F ",""))</f>
        <v/>
      </c>
    </row>
    <row r="92">
      <c r="A92" s="6" t="inlineStr">
        <is>
          <t>TC87</t>
        </is>
      </c>
      <c r="B92" s="6" t="inlineStr">
        <is>
          <t>Integração de componentes</t>
        </is>
      </c>
      <c r="C92" s="7" t="n"/>
      <c r="D92" s="10" t="n"/>
      <c r="E92" s="9" t="n">
        <v>0.024</v>
      </c>
      <c r="F92" s="7" t="n"/>
      <c r="G92" s="10" t="n"/>
      <c r="H92" s="11">
        <f>IF(R92&lt;&gt;"","Falta preencher: "&amp;R92,IF(G92&lt;=0,"F precisa ser maior que 0",IF(L92="Automatizado",IF(I92&gt;0,"Sim (manter)","Não (aposentar e voltar ao manual)"),IF(I92&lt;=0,"Não",IF($D$3="","Sim, se faltarem pelo menos "&amp;FIXED(K92,1)&amp;" meses",IF(J92&lt;=G92*$D$3,"Sim","Não"))))))</f>
        <v/>
      </c>
      <c r="I92" s="12">
        <f>IF(R92&lt;&gt;"","",IF(G92&lt;=0,"",C92-E92/60-F92/G92))</f>
        <v/>
      </c>
      <c r="J92" s="13">
        <f>IF(OR(I92="",D92=""),"",IF(I92&lt;=0,"nunca",ROUNDUP(D92/I92,0)))</f>
        <v/>
      </c>
      <c r="K92" s="12">
        <f>IF(OR(J92="",J92="nunca"),"",J92/G92)</f>
        <v/>
      </c>
      <c r="L92" s="14" t="inlineStr">
        <is>
          <t>Não automatizado</t>
        </is>
      </c>
      <c r="M92" s="15" t="inlineStr">
        <is>
          <t>Responder métricas com Redis configurado mas inacessível.</t>
        </is>
      </c>
      <c r="N92" s="6" t="inlineStr">
        <is>
          <t>HU-07 Painel do gestor</t>
        </is>
      </c>
      <c r="O92" s="15" t="inlineStr"/>
      <c r="P92" s="14" t="n"/>
      <c r="Q92" s="15" t="inlineStr"/>
      <c r="R92" s="13">
        <f>TRIM(IF(C92="","Tm ","")&amp;IF(AND(D92="",L92&lt;&gt;"Automatizado"),"Ti ","")&amp;IF(E92="","Ta ","")&amp;IF(F92="","Mn ","")&amp;IF(G92="","F ",""))</f>
        <v/>
      </c>
    </row>
    <row r="93">
      <c r="A93" s="6" t="inlineStr">
        <is>
          <t>TC88</t>
        </is>
      </c>
      <c r="B93" s="6" t="inlineStr">
        <is>
          <t>Sistema</t>
        </is>
      </c>
      <c r="C93" s="7" t="n"/>
      <c r="D93" s="10" t="n"/>
      <c r="E93" s="9" t="n">
        <v>2.706</v>
      </c>
      <c r="F93" s="7" t="n"/>
      <c r="G93" s="10" t="n"/>
      <c r="H93" s="11">
        <f>IF(R93&lt;&gt;"","Falta preencher: "&amp;R93,IF(G93&lt;=0,"F precisa ser maior que 0",IF(L93="Automatizado",IF(I93&gt;0,"Sim (manter)","Não (aposentar e voltar ao manual)"),IF(I93&lt;=0,"Não",IF($D$3="","Sim, se faltarem pelo menos "&amp;FIXED(K93,1)&amp;" meses",IF(J93&lt;=G93*$D$3,"Sim","Não"))))))</f>
        <v/>
      </c>
      <c r="I93" s="12">
        <f>IF(R93&lt;&gt;"","",IF(G93&lt;=0,"",C93-E93/60-F93/G93))</f>
        <v/>
      </c>
      <c r="J93" s="13">
        <f>IF(OR(I93="",D93=""),"",IF(I93&lt;=0,"nunca",ROUNDUP(D93/I93,0)))</f>
        <v/>
      </c>
      <c r="K93" s="12">
        <f>IF(OR(J93="",J93="nunca"),"",J93/G93)</f>
        <v/>
      </c>
      <c r="L93" s="14" t="inlineStr">
        <is>
          <t>Não automatizado</t>
        </is>
      </c>
      <c r="M93" s="15" t="inlineStr">
        <is>
          <t>Exibir no dashboard do cidadão o total das próprias solicitações.</t>
        </is>
      </c>
      <c r="N93" s="6" t="inlineStr">
        <is>
          <t>HU-10 Dashboard do cidadão</t>
        </is>
      </c>
      <c r="O93" s="15" t="inlineStr"/>
      <c r="P93" s="14" t="n"/>
      <c r="Q93" s="15" t="inlineStr"/>
      <c r="R93" s="13">
        <f>TRIM(IF(C93="","Tm ","")&amp;IF(AND(D93="",L93&lt;&gt;"Automatizado"),"Ti ","")&amp;IF(E93="","Ta ","")&amp;IF(F93="","Mn ","")&amp;IF(G93="","F ",""))</f>
        <v/>
      </c>
    </row>
    <row r="94">
      <c r="A94" s="6" t="inlineStr">
        <is>
          <t>TC89</t>
        </is>
      </c>
      <c r="B94" s="6" t="inlineStr">
        <is>
          <t>Sistema</t>
        </is>
      </c>
      <c r="C94" s="7" t="n"/>
      <c r="D94" s="10" t="n"/>
      <c r="E94" s="9" t="n">
        <v>2.706</v>
      </c>
      <c r="F94" s="7" t="n"/>
      <c r="G94" s="10" t="n"/>
      <c r="H94" s="11">
        <f>IF(R94&lt;&gt;"","Falta preencher: "&amp;R94,IF(G94&lt;=0,"F precisa ser maior que 0",IF(L94="Automatizado",IF(I94&gt;0,"Sim (manter)","Não (aposentar e voltar ao manual)"),IF(I94&lt;=0,"Não",IF($D$3="","Sim, se faltarem pelo menos "&amp;FIXED(K94,1)&amp;" meses",IF(J94&lt;=G94*$D$3,"Sim","Não"))))))</f>
        <v/>
      </c>
      <c r="I94" s="12">
        <f>IF(R94&lt;&gt;"","",IF(G94&lt;=0,"",C94-E94/60-F94/G94))</f>
        <v/>
      </c>
      <c r="J94" s="13">
        <f>IF(OR(I94="",D94=""),"",IF(I94&lt;=0,"nunca",ROUNDUP(D94/I94,0)))</f>
        <v/>
      </c>
      <c r="K94" s="12">
        <f>IF(OR(J94="",J94="nunca"),"",J94/G94)</f>
        <v/>
      </c>
      <c r="L94" s="14" t="inlineStr">
        <is>
          <t>Não automatizado</t>
        </is>
      </c>
      <c r="M94" s="15" t="inlineStr">
        <is>
          <t>Navegar da home para a tela de login.</t>
        </is>
      </c>
      <c r="N94" s="6" t="inlineStr">
        <is>
          <t>HU-02 Login</t>
        </is>
      </c>
      <c r="O94" s="15" t="inlineStr"/>
      <c r="P94" s="14" t="n"/>
      <c r="Q94" s="15" t="inlineStr"/>
      <c r="R94" s="13">
        <f>TRIM(IF(C94="","Tm ","")&amp;IF(AND(D94="",L94&lt;&gt;"Automatizado"),"Ti ","")&amp;IF(E94="","Ta ","")&amp;IF(F94="","Mn ","")&amp;IF(G94="","F ",""))</f>
        <v/>
      </c>
    </row>
    <row r="95">
      <c r="A95" s="6" t="inlineStr">
        <is>
          <t>TC90</t>
        </is>
      </c>
      <c r="B95" s="6" t="inlineStr">
        <is>
          <t>Sistema</t>
        </is>
      </c>
      <c r="C95" s="7" t="n"/>
      <c r="D95" s="10" t="n"/>
      <c r="E95" s="9" t="n">
        <v>2.706</v>
      </c>
      <c r="F95" s="7" t="n"/>
      <c r="G95" s="10" t="n"/>
      <c r="H95" s="11">
        <f>IF(R95&lt;&gt;"","Falta preencher: "&amp;R95,IF(G95&lt;=0,"F precisa ser maior que 0",IF(L95="Automatizado",IF(I95&gt;0,"Sim (manter)","Não (aposentar e voltar ao manual)"),IF(I95&lt;=0,"Não",IF($D$3="","Sim, se faltarem pelo menos "&amp;FIXED(K95,1)&amp;" meses",IF(J95&lt;=G95*$D$3,"Sim","Não"))))))</f>
        <v/>
      </c>
      <c r="I95" s="12">
        <f>IF(R95&lt;&gt;"","",IF(G95&lt;=0,"",C95-E95/60-F95/G95))</f>
        <v/>
      </c>
      <c r="J95" s="13">
        <f>IF(OR(I95="",D95=""),"",IF(I95&lt;=0,"nunca",ROUNDUP(D95/I95,0)))</f>
        <v/>
      </c>
      <c r="K95" s="12">
        <f>IF(OR(J95="",J95="nunca"),"",J95/G95)</f>
        <v/>
      </c>
      <c r="L95" s="14" t="inlineStr">
        <is>
          <t>Não automatizado</t>
        </is>
      </c>
      <c r="M95" s="15" t="inlineStr">
        <is>
          <t>Navegar da home para a tela de cadastro.</t>
        </is>
      </c>
      <c r="N95" s="6" t="inlineStr">
        <is>
          <t>HU-01 Cadastro de conta</t>
        </is>
      </c>
      <c r="O95" s="15" t="inlineStr"/>
      <c r="P95" s="14" t="n"/>
      <c r="Q95" s="15" t="inlineStr"/>
      <c r="R95" s="13">
        <f>TRIM(IF(C95="","Tm ","")&amp;IF(AND(D95="",L95&lt;&gt;"Automatizado"),"Ti ","")&amp;IF(E95="","Ta ","")&amp;IF(F95="","Mn ","")&amp;IF(G95="","F ",""))</f>
        <v/>
      </c>
    </row>
    <row r="96">
      <c r="A96" s="6" t="inlineStr">
        <is>
          <t>TC91</t>
        </is>
      </c>
      <c r="B96" s="6" t="inlineStr">
        <is>
          <t>Sistema</t>
        </is>
      </c>
      <c r="C96" s="7" t="n"/>
      <c r="D96" s="10" t="n"/>
      <c r="E96" s="9" t="n">
        <v>2.706</v>
      </c>
      <c r="F96" s="7" t="n"/>
      <c r="G96" s="10" t="n"/>
      <c r="H96" s="11">
        <f>IF(R96&lt;&gt;"","Falta preencher: "&amp;R96,IF(G96&lt;=0,"F precisa ser maior que 0",IF(L96="Automatizado",IF(I96&gt;0,"Sim (manter)","Não (aposentar e voltar ao manual)"),IF(I96&lt;=0,"Não",IF($D$3="","Sim, se faltarem pelo menos "&amp;FIXED(K96,1)&amp;" meses",IF(J96&lt;=G96*$D$3,"Sim","Não"))))))</f>
        <v/>
      </c>
      <c r="I96" s="12">
        <f>IF(R96&lt;&gt;"","",IF(G96&lt;=0,"",C96-E96/60-F96/G96))</f>
        <v/>
      </c>
      <c r="J96" s="13">
        <f>IF(OR(I96="",D96=""),"",IF(I96&lt;=0,"nunca",ROUNDUP(D96/I96,0)))</f>
        <v/>
      </c>
      <c r="K96" s="12">
        <f>IF(OR(J96="",J96="nunca"),"",J96/G96)</f>
        <v/>
      </c>
      <c r="L96" s="14" t="inlineStr">
        <is>
          <t>Não automatizado</t>
        </is>
      </c>
      <c r="M96" s="15" t="inlineStr">
        <is>
          <t>Navegar da home para a tela de demandas.</t>
        </is>
      </c>
      <c r="N96" s="6" t="inlineStr">
        <is>
          <t>HU-06 Visualizar e filtrar demandas</t>
        </is>
      </c>
      <c r="O96" s="15" t="inlineStr"/>
      <c r="P96" s="14" t="n"/>
      <c r="Q96" s="15" t="inlineStr"/>
      <c r="R96" s="13">
        <f>TRIM(IF(C96="","Tm ","")&amp;IF(AND(D96="",L96&lt;&gt;"Automatizado"),"Ti ","")&amp;IF(E96="","Ta ","")&amp;IF(F96="","Mn ","")&amp;IF(G96="","F ",""))</f>
        <v/>
      </c>
    </row>
    <row r="97">
      <c r="A97" s="6" t="inlineStr">
        <is>
          <t>TC92</t>
        </is>
      </c>
      <c r="B97" s="6" t="inlineStr">
        <is>
          <t>Sistema</t>
        </is>
      </c>
      <c r="C97" s="7" t="n"/>
      <c r="D97" s="10" t="n"/>
      <c r="E97" s="9" t="n">
        <v>2.706</v>
      </c>
      <c r="F97" s="7" t="n"/>
      <c r="G97" s="10" t="n"/>
      <c r="H97" s="11">
        <f>IF(R97&lt;&gt;"","Falta preencher: "&amp;R97,IF(G97&lt;=0,"F precisa ser maior que 0",IF(L97="Automatizado",IF(I97&gt;0,"Sim (manter)","Não (aposentar e voltar ao manual)"),IF(I97&lt;=0,"Não",IF($D$3="","Sim, se faltarem pelo menos "&amp;FIXED(K97,1)&amp;" meses",IF(J97&lt;=G97*$D$3,"Sim","Não"))))))</f>
        <v/>
      </c>
      <c r="I97" s="12">
        <f>IF(R97&lt;&gt;"","",IF(G97&lt;=0,"",C97-E97/60-F97/G97))</f>
        <v/>
      </c>
      <c r="J97" s="13">
        <f>IF(OR(I97="",D97=""),"",IF(I97&lt;=0,"nunca",ROUNDUP(D97/I97,0)))</f>
        <v/>
      </c>
      <c r="K97" s="12">
        <f>IF(OR(J97="",J97="nunca"),"",J97/G97)</f>
        <v/>
      </c>
      <c r="L97" s="14" t="inlineStr">
        <is>
          <t>Não automatizado</t>
        </is>
      </c>
      <c r="M97" s="15" t="inlineStr">
        <is>
          <t>Registrar demanda em viewport mobile sem rolagem horizontal.</t>
        </is>
      </c>
      <c r="N97" s="6" t="inlineStr">
        <is>
          <t>HU-03 Registro de demanda</t>
        </is>
      </c>
      <c r="O97" s="15" t="inlineStr"/>
      <c r="P97" s="14" t="n"/>
      <c r="Q97" s="15" t="inlineStr"/>
      <c r="R97" s="13">
        <f>TRIM(IF(C97="","Tm ","")&amp;IF(AND(D97="",L97&lt;&gt;"Automatizado"),"Ti ","")&amp;IF(E97="","Ta ","")&amp;IF(F97="","Mn ","")&amp;IF(G97="","F ",""))</f>
        <v/>
      </c>
    </row>
    <row r="98">
      <c r="A98" s="6" t="inlineStr">
        <is>
          <t>TC93</t>
        </is>
      </c>
      <c r="B98" s="6" t="inlineStr">
        <is>
          <t>Sistema</t>
        </is>
      </c>
      <c r="C98" s="7" t="n"/>
      <c r="D98" s="10" t="n"/>
      <c r="E98" s="9" t="n">
        <v>2.706</v>
      </c>
      <c r="F98" s="7" t="n"/>
      <c r="G98" s="10" t="n"/>
      <c r="H98" s="11">
        <f>IF(R98&lt;&gt;"","Falta preencher: "&amp;R98,IF(G98&lt;=0,"F precisa ser maior que 0",IF(L98="Automatizado",IF(I98&gt;0,"Sim (manter)","Não (aposentar e voltar ao manual)"),IF(I98&lt;=0,"Não",IF($D$3="","Sim, se faltarem pelo menos "&amp;FIXED(K98,1)&amp;" meses",IF(J98&lt;=G98*$D$3,"Sim","Não"))))))</f>
        <v/>
      </c>
      <c r="I98" s="12">
        <f>IF(R98&lt;&gt;"","",IF(G98&lt;=0,"",C98-E98/60-F98/G98))</f>
        <v/>
      </c>
      <c r="J98" s="13">
        <f>IF(OR(I98="",D98=""),"",IF(I98&lt;=0,"nunca",ROUNDUP(D98/I98,0)))</f>
        <v/>
      </c>
      <c r="K98" s="12">
        <f>IF(OR(J98="",J98="nunca"),"",J98/G98)</f>
        <v/>
      </c>
      <c r="L98" s="14" t="inlineStr">
        <is>
          <t>Não automatizado</t>
        </is>
      </c>
      <c r="M98" s="15" t="inlineStr">
        <is>
          <t>Registrar demanda em viewport tablet sem rolagem horizontal.</t>
        </is>
      </c>
      <c r="N98" s="6" t="inlineStr">
        <is>
          <t>HU-03 Registro de demanda</t>
        </is>
      </c>
      <c r="O98" s="15" t="inlineStr"/>
      <c r="P98" s="14" t="n"/>
      <c r="Q98" s="15" t="inlineStr"/>
      <c r="R98" s="13">
        <f>TRIM(IF(C98="","Tm ","")&amp;IF(AND(D98="",L98&lt;&gt;"Automatizado"),"Ti ","")&amp;IF(E98="","Ta ","")&amp;IF(F98="","Mn ","")&amp;IF(G98="","F ",""))</f>
        <v/>
      </c>
    </row>
    <row r="99">
      <c r="A99" s="6" t="inlineStr">
        <is>
          <t>TC94</t>
        </is>
      </c>
      <c r="B99" s="6" t="inlineStr">
        <is>
          <t>Sistema</t>
        </is>
      </c>
      <c r="C99" s="7" t="n"/>
      <c r="D99" s="10" t="n"/>
      <c r="E99" s="9" t="n">
        <v>2.706</v>
      </c>
      <c r="F99" s="7" t="n"/>
      <c r="G99" s="10" t="n"/>
      <c r="H99" s="11">
        <f>IF(R99&lt;&gt;"","Falta preencher: "&amp;R99,IF(G99&lt;=0,"F precisa ser maior que 0",IF(L99="Automatizado",IF(I99&gt;0,"Sim (manter)","Não (aposentar e voltar ao manual)"),IF(I99&lt;=0,"Não",IF($D$3="","Sim, se faltarem pelo menos "&amp;FIXED(K99,1)&amp;" meses",IF(J99&lt;=G99*$D$3,"Sim","Não"))))))</f>
        <v/>
      </c>
      <c r="I99" s="12">
        <f>IF(R99&lt;&gt;"","",IF(G99&lt;=0,"",C99-E99/60-F99/G99))</f>
        <v/>
      </c>
      <c r="J99" s="13">
        <f>IF(OR(I99="",D99=""),"",IF(I99&lt;=0,"nunca",ROUNDUP(D99/I99,0)))</f>
        <v/>
      </c>
      <c r="K99" s="12">
        <f>IF(OR(J99="",J99="nunca"),"",J99/G99)</f>
        <v/>
      </c>
      <c r="L99" s="14" t="inlineStr">
        <is>
          <t>Não automatizado</t>
        </is>
      </c>
      <c r="M99" s="15" t="inlineStr">
        <is>
          <t>Registrar demanda em viewport desktop sem rolagem horizontal.</t>
        </is>
      </c>
      <c r="N99" s="6" t="inlineStr">
        <is>
          <t>HU-03 Registro de demanda</t>
        </is>
      </c>
      <c r="O99" s="15" t="inlineStr"/>
      <c r="P99" s="14" t="n"/>
      <c r="Q99" s="15" t="inlineStr"/>
      <c r="R99" s="13">
        <f>TRIM(IF(C99="","Tm ","")&amp;IF(AND(D99="",L99&lt;&gt;"Automatizado"),"Ti ","")&amp;IF(E99="","Ta ","")&amp;IF(F99="","Mn ","")&amp;IF(G99="","F ",""))</f>
        <v/>
      </c>
    </row>
    <row r="101">
      <c r="A101" s="2" t="inlineStr">
        <is>
          <t>Ta = duração do próprio teste. Tempo de parede das suítes em 23/09/2026 nesta máquina: API 89,3 s (44 testes; ~69 s são compilação a frio do ts-jest no primeiro arquivo), unitários 47,1 s (10 testes), E2E 14,3 s (4 specs, com backend e app já rodando). Esse custo fixo já existe e não cresce com mais um caso; por isso não entra no Ta de cada caso.</t>
        </is>
      </c>
    </row>
    <row r="102">
      <c r="A102" s="2" t="inlineStr">
        <is>
          <t>HU-09 (aceitar sugestão) ficou sem TC na rodada 2 (lacuna L12), mas já tem 2 E2E: gestor-aceita-triagem.spec.ts e triagem-gestor.spec.ts. O triagem-gestor.spec.ts não estava no último relatório do Playwright; rode o E2E para medir.</t>
        </is>
      </c>
    </row>
    <row r="103">
      <c r="A103" s="2" t="inlineStr">
        <is>
          <t>Legenda: amarelo = equipe preenche · azul = veio do repositório (ver comentário) · cinza = calculado, não editar.</t>
        </is>
      </c>
    </row>
  </sheetData>
  <autoFilter ref="A5:R99"/>
  <mergeCells count="1">
    <mergeCell ref="A3:C3"/>
  </mergeCells>
  <dataValidations count="1">
    <dataValidation sqref="L6:L99" showDropDown="0" showInputMessage="0" showErrorMessage="0" allowBlank="0" type="list">
      <formula1>"Automatizado,Não automatizado"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</cols>
  <sheetData>
    <row r="1">
      <c r="A1" s="16" t="inlineStr">
        <is>
          <t>Como preencher a seleção para automação</t>
        </is>
      </c>
    </row>
    <row r="2">
      <c r="A2" s="17" t="inlineStr">
        <is>
          <t>1</t>
        </is>
      </c>
      <c r="B2" s="18" t="inlineStr">
        <is>
          <t>Combine com a squad quantos meses faltam até a entrega e escreva em D3 da aba 'Selecao Automacao'.</t>
        </is>
      </c>
    </row>
    <row r="3">
      <c r="A3" s="17" t="inlineStr">
        <is>
          <t>2</t>
        </is>
      </c>
      <c r="B3" s="18" t="inlineStr">
        <is>
          <t>Tm: execute o caso MANUALMENTE uma vez com cronômetro — preparar a massa (M0/M1), executar os passos, conferir o resultado e registrar evidência. Não conte o tempo de escrever o caso. Casos de Integração: pelo Postman/Insomnia. Anote em minutos (ex.: 3,5).</t>
        </is>
      </c>
    </row>
    <row r="4">
      <c r="A4" s="17" t="inlineStr">
        <is>
          <t>3</t>
        </is>
      </c>
      <c r="B4" s="18" t="inlineStr">
        <is>
          <t>F: quantas vezes por mês o caso vai rodar DE VERDADE. Sem CI (hoje não há), é quantas vezes alguém roda os testes à mão (ex.: 1 regressão por semana = 4).</t>
        </is>
      </c>
    </row>
    <row r="5">
      <c r="A5" s="17" t="inlineStr">
        <is>
          <t>4</t>
        </is>
      </c>
      <c r="B5" s="18" t="inlineStr">
        <is>
          <t>Mn: minutos por mês gastos consertando o teste. Se um conserto atingiu vários testes do mesmo arquivo, divida o tempo entre eles. Para os não automatizados é estimativa: diga isso em Observações.</t>
        </is>
      </c>
    </row>
    <row r="6">
      <c r="A6" s="17" t="inlineStr">
        <is>
          <t>5</t>
        </is>
      </c>
      <c r="B6" s="18" t="inlineStr">
        <is>
          <t>Ti: minutos para implementar. Só é pedido nos 'Não automatizado' — nos automatizados o investimento já foi feito. Nos casos com observação de cobertura parcial, o Ti é só o ajuste que falta (ex.: TC02 precisa de 1 assert).</t>
        </is>
      </c>
    </row>
    <row r="7">
      <c r="A7" s="17" t="inlineStr">
        <is>
          <t>6</t>
        </is>
      </c>
      <c r="B7" s="18" t="inlineStr">
        <is>
          <t>Ta: já vem preenchido. Automatizados = tempo medido do teste. Não automatizados = referência pela mediana do mesmo nível; troque pelo tempo real depois de implementar.</t>
        </is>
      </c>
    </row>
    <row r="8">
      <c r="A8" s="17" t="inlineStr">
        <is>
          <t>7</t>
        </is>
      </c>
      <c r="B8" s="18" t="inlineStr">
        <is>
          <t>A coluna 'Automatizar?' se calcula sozinha. Enquanto faltar algo, ela diz o que falta. Use o filtro do cabeçalho para ver só um nível ou só os pendentes.</t>
        </is>
      </c>
    </row>
    <row r="9">
      <c r="A9" s="17" t="inlineStr">
        <is>
          <t>8</t>
        </is>
      </c>
      <c r="B9" s="18" t="inlineStr">
        <is>
          <t>Para cada 'Não', preencha o responsável pela execução manual. Não automatizar nunca significa não verificar.</t>
        </is>
      </c>
    </row>
    <row r="10">
      <c r="A10" s="17" t="inlineStr"/>
      <c r="B10" s="18" t="n"/>
    </row>
    <row r="11">
      <c r="A11" s="16" t="inlineStr">
        <is>
          <t>Regra de decisão aplicada pela planilha</t>
        </is>
      </c>
    </row>
    <row r="12">
      <c r="A12" s="17" t="inlineStr">
        <is>
          <t>•</t>
        </is>
      </c>
      <c r="B12" s="18" t="inlineStr">
        <is>
          <t>Ganho por execução (min) = Tm − Ta/60 − Mn/F. (Ta está em segundos, por isso ÷ 60.)</t>
        </is>
      </c>
    </row>
    <row r="13">
      <c r="A13" s="17" t="inlineStr">
        <is>
          <t>•</t>
        </is>
      </c>
      <c r="B13" s="18" t="inlineStr">
        <is>
          <t>Execuções até o retorno = Ti ÷ ganho por execução, arredondado para cima.</t>
        </is>
      </c>
    </row>
    <row r="14">
      <c r="A14" s="17" t="inlineStr">
        <is>
          <t>•</t>
        </is>
      </c>
      <c r="B14" s="18" t="inlineStr">
        <is>
          <t>Ainda NÃO automatizado: ganho ≤ 0 → Não (nunca se paga). Ganho &gt; 0 → Sim se as execuções até o retorno couberem em F × meses restantes; senão, Não.</t>
        </is>
      </c>
    </row>
    <row r="15">
      <c r="A15" s="17" t="inlineStr">
        <is>
          <t>•</t>
        </is>
      </c>
      <c r="B15" s="18" t="inlineStr">
        <is>
          <t>JÁ automatizado: o Ti já foi gasto; a pergunta é se vale manter. Ganho &gt; 0 → Sim (manter). Ganho ≤ 0 → Não (aposentar e voltar ao manual).</t>
        </is>
      </c>
    </row>
    <row r="16">
      <c r="A16" s="17" t="inlineStr"/>
      <c r="B16" s="18" t="n"/>
    </row>
    <row r="17">
      <c r="A17" s="16" t="inlineStr">
        <is>
          <t>Exemplos do enunciado (fórmulas reais; horizonte de exemplo em B24)</t>
        </is>
      </c>
    </row>
    <row r="24">
      <c r="A24" s="3" t="inlineStr">
        <is>
          <t>Horizonte de exemplo (meses):</t>
        </is>
      </c>
      <c r="B24" s="19" t="n">
        <v>1</v>
      </c>
    </row>
    <row r="26">
      <c r="A26" s="20" t="inlineStr">
        <is>
          <t>ID</t>
        </is>
      </c>
      <c r="B26" s="20" t="inlineStr">
        <is>
          <t>Tm (min)</t>
        </is>
      </c>
      <c r="C26" s="20" t="inlineStr">
        <is>
          <t>Ti (min)</t>
        </is>
      </c>
      <c r="D26" s="20" t="inlineStr">
        <is>
          <t>Ta (s)</t>
        </is>
      </c>
      <c r="E26" s="20" t="inlineStr">
        <is>
          <t>Mn (min/mês)</t>
        </is>
      </c>
      <c r="F26" s="20" t="inlineStr">
        <is>
          <t>F (exec/mês)</t>
        </is>
      </c>
      <c r="G26" s="20" t="inlineStr">
        <is>
          <t>Ganho/exec (min)</t>
        </is>
      </c>
      <c r="H26" s="20" t="inlineStr">
        <is>
          <t>Execuções até retorno</t>
        </is>
      </c>
      <c r="I26" s="20" t="inlineStr">
        <is>
          <t>Automatizar?</t>
        </is>
      </c>
    </row>
    <row r="27">
      <c r="A27" s="21" t="inlineStr">
        <is>
          <t>TC-07 (exemplo)</t>
        </is>
      </c>
      <c r="B27" s="22" t="n">
        <v>8</v>
      </c>
      <c r="C27" s="22" t="n">
        <v>90</v>
      </c>
      <c r="D27" s="22" t="n">
        <v>4</v>
      </c>
      <c r="E27" s="22" t="n">
        <v>10</v>
      </c>
      <c r="F27" s="22" t="n">
        <v>20</v>
      </c>
      <c r="G27" s="23">
        <f>B27-D27/60-E27/F27</f>
        <v/>
      </c>
      <c r="H27" s="24">
        <f>IF(G27&lt;=0,"nunca",ROUNDUP(C27/G27,0))</f>
        <v/>
      </c>
      <c r="I27" s="24">
        <f>IF(G27&lt;=0,"Não",IF(H27&lt;=F27*$B$24,"Sim","Não"))</f>
        <v/>
      </c>
    </row>
    <row r="28">
      <c r="A28" s="21" t="inlineStr">
        <is>
          <t>TC-31 (exemplo)</t>
        </is>
      </c>
      <c r="B28" s="22" t="n">
        <v>12</v>
      </c>
      <c r="C28" s="22" t="n">
        <v>240</v>
      </c>
      <c r="D28" s="22" t="n">
        <v>25</v>
      </c>
      <c r="E28" s="22" t="n">
        <v>45</v>
      </c>
      <c r="F28" s="22" t="n">
        <v>2</v>
      </c>
      <c r="G28" s="23">
        <f>B28-D28/60-E28/F28</f>
        <v/>
      </c>
      <c r="H28" s="24">
        <f>IF(G28&lt;=0,"nunca",ROUNDUP(C28/G28,0))</f>
        <v/>
      </c>
      <c r="I28" s="24">
        <f>IF(G28&lt;=0,"Não",IF(H28&lt;=F28*$B$24,"Sim","Não"))</f>
        <v/>
      </c>
    </row>
    <row r="29">
      <c r="A29" s="2" t="inlineStr">
        <is>
          <t>TC-07: ganha 7,43 min por execução e se paga em 13 execuções. TC-31: carrega 22,5 min de manutenção por execução (45 ÷ 2), mais que o próprio Tm — nunca se paga. Estes IDs são do enunciado, não os TC07/TC31 da rodada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2026-09-24T01:04:56Z</dcterms:created>
  <dcterms:modified xsi:type="dcterms:W3CDTF">2026-09-24T01:04:56Z</dcterms:modified>
</cp:coreProperties>
</file>